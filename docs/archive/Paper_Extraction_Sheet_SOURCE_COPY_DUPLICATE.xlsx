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aster Extraction Sheet" sheetId="2" state="visible" r:id="rId4"/>
    <sheet name="Lists" sheetId="3" state="hidden" r:id="rId5"/>
    <sheet name="Progress Tracker" sheetId="4" state="visible" r:id="rId6"/>
    <sheet name="Behavioural Signal Track"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<sst xmlns="http://schemas.openxmlformats.org/spreadsheetml/2006/main" count="152" uniqueCount="126">
  <si>
    <t xml:space="preserve">Paper Extraction Sheet — IT22638168 (Document 2)</t>
  </si>
  <si>
    <t xml:space="preserve">Working companion to the Literature Review Master Plan. This is Document 2 of that plan: one row per paper, screened and extracted as the literature search proceeds.</t>
  </si>
  <si>
    <t xml:space="preserve">Sheets in this workbook</t>
  </si>
  <si>
    <t xml:space="preserve">Master Extraction Sheet — the main tracker. One row per paper. Log every candidate here, including ones you reject — a fast 'Screened Out' entry is cheaper than re-finding a paper later.</t>
  </si>
  <si>
    <t xml:space="preserve">Progress Tracker — a live dashboard (formula-driven) showing how many papers you've extracted per topic against the targets from the Master Plan's Section C. Updates automatically as you fill in the Master sheet.</t>
  </si>
  <si>
    <t xml:space="preserve">Behavioural Signal Track — the dedicated Section G tracker. Resolve this one first: the fusion methodology (§3.2.6) depends on its outcome.</t>
  </si>
  <si>
    <t xml:space="preserve">How to use the Master Extraction Sheet</t>
  </si>
  <si>
    <t xml:space="preserve">1. Every candidate paper gets a row, the moment you find it — set Status to 'Candidate' immediately, even before reading it properly.</t>
  </si>
  <si>
    <t xml:space="preserve">2. After screening (checking it's a real, relevant, sufficiently high-quality source), update Status to 'Screened Out' (with a one-line reason in Notes) or move on to full extraction.</t>
  </si>
  <si>
    <t xml:space="preserve">3. Fill in every column you can once you've read the paper properly, and set Status to 'Extracted'.</t>
  </si>
  <si>
    <t xml:space="preserve">4. Set 'Verified Real?' to Yes only once you have personally opened the DOI/link and confirmed the paper exists and says what you're citing it for. Given this project's earlier history with fabricated references, no paper moves to 'Cited in Final' with this column still on 'Pending'.</t>
  </si>
  <si>
    <t xml:space="preserve">5. Set Status to 'Cited in Final' only once it's actually used in the written literature review chapter.</t>
  </si>
  <si>
    <t xml:space="preserve">Colour legend</t>
  </si>
  <si>
    <t xml:space="preserve">  Green fill — the example row. Replace with your own data; do not leave it in the working sheet.</t>
  </si>
  <si>
    <t xml:space="preserve">  Blue fill (Progress Tracker) — hardcoded targets from the Master Plan. Adjust only if your supervisor changes scope.</t>
  </si>
  <si>
    <t xml:space="preserve">  Orange fill — a caution/discipline note, not a place to enter data.</t>
  </si>
  <si>
    <t xml:space="preserve">One rule that matters more than any other</t>
  </si>
  <si>
    <t xml:space="preserve">Never mark a paper 'Verified Real? = Yes' from a search-result snippet alone. Open the actual DOI or publisher link yourself. This exact project had ten fabricated references make it into an earlier proposal draft before being caught — this sheet exists partly to make that structurally harder to repeat.</t>
  </si>
  <si>
    <t xml:space="preserve">ID</t>
  </si>
  <si>
    <t xml:space="preserve">Topic</t>
  </si>
  <si>
    <t xml:space="preserve">Sub-topic (Behavioural only)</t>
  </si>
  <si>
    <t xml:space="preserve">Status</t>
  </si>
  <si>
    <t xml:space="preserve">Tier</t>
  </si>
  <si>
    <t xml:space="preserve">Verified Real?</t>
  </si>
  <si>
    <t xml:space="preserve">Authors</t>
  </si>
  <si>
    <t xml:space="preserve">Year</t>
  </si>
  <si>
    <t xml:space="preserve">Title</t>
  </si>
  <si>
    <t xml:space="preserve">Venue</t>
  </si>
  <si>
    <t xml:space="preserve">DOI / Stable Link</t>
  </si>
  <si>
    <t xml:space="preserve">Research Problem</t>
  </si>
  <si>
    <t xml:space="preserve">Dataset</t>
  </si>
  <si>
    <t xml:space="preserve">Population / Context</t>
  </si>
  <si>
    <t xml:space="preserve">Method</t>
  </si>
  <si>
    <t xml:space="preserve">Model / Algorithm</t>
  </si>
  <si>
    <t xml:space="preserve">Input Modality</t>
  </si>
  <si>
    <t xml:space="preserve">Output</t>
  </si>
  <si>
    <t xml:space="preserve">Evaluation Metrics</t>
  </si>
  <si>
    <t xml:space="preserve">Results</t>
  </si>
  <si>
    <t xml:space="preserve">Limitations (stated by authors)</t>
  </si>
  <si>
    <t xml:space="preserve">Relevance to IT22638168</t>
  </si>
  <si>
    <t xml:space="preserve">Gap Identified</t>
  </si>
  <si>
    <t xml:space="preserve">Technology/Technique to Reuse</t>
  </si>
  <si>
    <t xml:space="preserve">Notes</t>
  </si>
  <si>
    <t xml:space="preserve">EX</t>
  </si>
  <si>
    <t xml:space="preserve">Facial Emotion Recognition (incl. Head-Pose)</t>
  </si>
  <si>
    <t xml:space="preserve">(N/A — not Behavioural Track)</t>
  </si>
  <si>
    <t xml:space="preserve">Extracted</t>
  </si>
  <si>
    <t xml:space="preserve">Tier 2</t>
  </si>
  <si>
    <t xml:space="preserve">Yes</t>
  </si>
  <si>
    <t xml:space="preserve">Mollahosseini, A.; Hasani, B.; Mahoor, M.H.</t>
  </si>
  <si>
    <t xml:space="preserve">2019</t>
  </si>
  <si>
    <t xml:space="preserve">AffectNet: A Database for Facial Expression, Valence, and Arousal Computing in the Wild</t>
  </si>
  <si>
    <t xml:space="preserve">IEEE Transactions on Affective Computing, vol. 10, no. 1</t>
  </si>
  <si>
    <t xml:space="preserve">https://doi.org/10.1109/TAFFC.2017.2740923</t>
  </si>
  <si>
    <t xml:space="preserve">Whether a CNN trained on a large, diverse, real-world facial expression dataset can classify emotion accurately outside lab conditions</t>
  </si>
  <si>
    <t xml:space="preserve">AffectNet — ~1M facial images, ~440,000 manually annotated</t>
  </si>
  <si>
    <t xml:space="preserve">Web-scraped images, wide variation in lighting, pose, and occlusion</t>
  </si>
  <si>
    <t xml:space="preserve">CNN trained/evaluated on AffectNet across multiple architectures</t>
  </si>
  <si>
    <t xml:space="preserve">AlexNet-style CNN (baseline in original paper)</t>
  </si>
  <si>
    <t xml:space="preserve">Face (image)</t>
  </si>
  <si>
    <t xml:space="preserve">8-class categorical emotion + continuous valence/arousal</t>
  </si>
  <si>
    <t xml:space="preserve">Accuracy, RMSE (valence/arousal)</t>
  </si>
  <si>
    <t xml:space="preserve">&gt;65% accuracy achievable on real-world (non-lab) images for coarse categorical classification</t>
  </si>
  <si>
    <t xml:space="preserve">Authors note accuracy drops with extreme pose/occlusion; dataset skews toward frontal, well-lit images despite being 'in the wild'</t>
  </si>
  <si>
    <t xml:space="preserve">Basis for the &gt;=65% FER accuracy target in Section 3.5; supports using AffectNet alongside FER-2013 for real-world condition diversity</t>
  </si>
  <si>
    <t xml:space="preserve">Confirms FER-2013 alone likely under-represents real-world (non-frontal, poorly-lit) conditions — motivates checking head-pose-specific papers separately</t>
  </si>
  <si>
    <t xml:space="preserve">MobileNetV2 transfer learning + AffectNet/FER-2013 fine-tuning, exported to TFLite</t>
  </si>
  <si>
    <t xml:space="preserve">EXAMPLE ROW — delete or overwrite. Verified via direct DOI check, not a search snippet.</t>
  </si>
  <si>
    <t xml:space="preserve">Maternal Mental Health / Sri Lanka Context</t>
  </si>
  <si>
    <t xml:space="preserve">Candidate</t>
  </si>
  <si>
    <t xml:space="preserve">Tier 1</t>
  </si>
  <si>
    <t xml:space="preserve">Existing Pregnancy-Support &amp; Mental-Health Apps</t>
  </si>
  <si>
    <t xml:space="preserve">Typing Speed &amp; Emotion</t>
  </si>
  <si>
    <t xml:space="preserve">Screened Out</t>
  </si>
  <si>
    <t xml:space="preserve">No</t>
  </si>
  <si>
    <t xml:space="preserve">Conversational Agents for Mental Health</t>
  </si>
  <si>
    <t xml:space="preserve">Response Delay &amp; Emotion</t>
  </si>
  <si>
    <t xml:space="preserve">Tier 3</t>
  </si>
  <si>
    <t xml:space="preserve">Pending</t>
  </si>
  <si>
    <t xml:space="preserve">Keystroke/Behavioural Affect (general)</t>
  </si>
  <si>
    <t xml:space="preserve">Cited in Final</t>
  </si>
  <si>
    <t xml:space="preserve">English Sentiment / Transformers</t>
  </si>
  <si>
    <t xml:space="preserve">Individual- vs Population-Level Inference</t>
  </si>
  <si>
    <t xml:space="preserve">Sinhala / Low-Resource NLP</t>
  </si>
  <si>
    <t xml:space="preserve">Device/Keyboard Confounds</t>
  </si>
  <si>
    <t xml:space="preserve">Multimodal Fusion</t>
  </si>
  <si>
    <t xml:space="preserve">Sinhala vs English Typing Differences</t>
  </si>
  <si>
    <t xml:space="preserve">Adaptive / Affect-Conditioned Response</t>
  </si>
  <si>
    <t xml:space="preserve">Therapeutic Music &amp; Digital Interventions</t>
  </si>
  <si>
    <t xml:space="preserve">Privacy / Ethics / On-Device Inference</t>
  </si>
  <si>
    <t xml:space="preserve">Behavioural Signal Track</t>
  </si>
  <si>
    <t xml:space="preserve">Existing Systems (Section H)</t>
  </si>
  <si>
    <t xml:space="preserve">Min Target</t>
  </si>
  <si>
    <t xml:space="preserve">Recommended Target</t>
  </si>
  <si>
    <t xml:space="preserve">Max Target</t>
  </si>
  <si>
    <t xml:space="preserve"># Candidate</t>
  </si>
  <si>
    <t xml:space="preserve"># Extracted</t>
  </si>
  <si>
    <t xml:space="preserve"># Cited in Final</t>
  </si>
  <si>
    <t xml:space="preserve"># Verified = Yes</t>
  </si>
  <si>
    <t xml:space="preserve">Status vs Recommended</t>
  </si>
  <si>
    <t xml:space="preserve">TOTAL</t>
  </si>
  <si>
    <t xml:space="preserve">Blue cells are fixed targets from the Master Plan (Section C/G/H) — do not edit unless scope changes. All other numbers recalculate automatically from the Master Extraction Sheet.</t>
  </si>
  <si>
    <t xml:space="preserve">Behavioural Signal Decision Track (Master Plan Section G)</t>
  </si>
  <si>
    <t xml:space="preserve">Resolve this before finalizing §3.2.6 fusion methodology. Papers logged here should use Topic = 'Behavioural Signal Track' in the Master Extraction Sheet, with the matching Sub-topic value.</t>
  </si>
  <si>
    <t xml:space="preserve">Sub-topic</t>
  </si>
  <si>
    <t xml:space="preserve">Question to Answer</t>
  </si>
  <si>
    <t xml:space="preserve">Target Papers</t>
  </si>
  <si>
    <t xml:space="preserve"># Extracted (auto)</t>
  </si>
  <si>
    <t xml:space="preserve">Finding (fill in once resolved)</t>
  </si>
  <si>
    <t xml:space="preserve">Does typing speed predict mood at the individual/message level, or only population-level?</t>
  </si>
  <si>
    <t xml:space="preserve">1–2</t>
  </si>
  <si>
    <t xml:space="preserve">Same individual-vs-population distinction, for inter-message response latency</t>
  </si>
  <si>
    <t xml:space="preserve">Best reported accuracy for behaviour-only affect classification, and under what conditions?</t>
  </si>
  <si>
    <t xml:space="preserve">Does ANY paper validate behavioural signals as a real-time per-instance classifier with reported accuracy?</t>
  </si>
  <si>
    <t xml:space="preserve">cross-check above</t>
  </si>
  <si>
    <t xml:space="preserve">Has any study controlled for device/keyboard/IME/connection speed when measuring typing-based affect?</t>
  </si>
  <si>
    <t xml:space="preserve">1</t>
  </si>
  <si>
    <t xml:space="preserve">Is there a published baseline for Sinhala Unicode typing speed vs English, independent of mood?</t>
  </si>
  <si>
    <t xml:space="preserve">0–1 (absence itself is a finding)</t>
  </si>
  <si>
    <t xml:space="preserve">Decision Rule</t>
  </si>
  <si>
    <t xml:space="preserve">1. If ≥2 Tier 1/2 sources show individual-level, per-instance validated behavioural affect classification with a reported accuracy metric → KEEP in fusion, using that metric to justify a defensible weight.</t>
  </si>
  <si>
    <t xml:space="preserve">2. If evidence found is exclusively population-level/correlational → REMOVE from fused mood score; retain as logged, unfused telemetry only.</t>
  </si>
  <si>
    <t xml:space="preserve">3. If evidence is genuinely mixed or thin → default to telemetry-only. An unvalidated signal shaping responses to a vulnerable population carries more downside than the upside of keeping a weak signal in fusion.</t>
  </si>
  <si>
    <t xml:space="preserve">FINAL DECISION (fill in once track is complete)</t>
  </si>
  <si>
    <t xml:space="preserve">[ KEEP / REMOVE / TELEMETRY-ONLY ]</t>
  </si>
  <si>
    <t xml:space="preserve">Reasoning:</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</si>
</sst>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5"/>
      <name val="Arial"/>
      <family val="0"/>
      <charset val="1"/>
    </font>
    <font>
      <b val="true"/>
      <sz val="12"/>
      <color rgb="FF4A4A4A"/>
      <name val="Arial"/>
      <family val="0"/>
      <charset val="1"/>
    </font>
    <font>
      <b val="true"/>
      <i val="true"/>
      <sz val="10.5"/>
      <name val="Arial"/>
      <family val="0"/>
      <charset val="1"/>
    </font>
    <font>
      <b val="true"/>
      <sz val="10"/>
      <name val="Arial"/>
      <family val="0"/>
      <charset val="1"/>
    </font>
    <font>
      <sz val="10"/>
      <name val="Arial"/>
      <family val="0"/>
      <charset val="1"/>
    </font>
    <font>
      <i val="true"/>
      <sz val="10"/>
      <name val="Arial"/>
      <family val="0"/>
      <charset val="1"/>
    </font>
    <font>
      <i val="true"/>
      <sz val="9.5"/>
      <color rgb="FF666666"/>
      <name val="Arial"/>
      <family val="0"/>
      <charset val="1"/>
    </font>
    <font>
      <b val="true"/>
      <sz val="14"/>
      <name val="Arial"/>
      <family val="0"/>
      <charset val="1"/>
    </font>
    <font>
      <i val="true"/>
      <sz val="10"/>
      <color rgb="FF555555"/>
      <name val="Arial"/>
      <family val="0"/>
      <charset val="1"/>
    </font>
    <font>
      <b val="true"/>
      <sz val="12"/>
      <name val="Arial"/>
      <family val="0"/>
      <charset val="1"/>
    </font>
    <font>
      <b val="true"/>
      <sz val="11"/>
      <name val="Arial"/>
      <family val="0"/>
      <charset val="1"/>
    </font>
    <font>
      <b val="true"/>
      <i val="true"/>
      <sz val="10"/>
      <color rgb="FFAA5500"/>
      <name val="Arial"/>
      <family val="0"/>
      <charset val="1"/>
    </font>
  </fonts>
  <fills count="6">
    <fill>
      <patternFill patternType="none"/>
    </fill>
    <fill>
      <patternFill patternType="gray125"/>
    </fill>
    <fill>
      <patternFill patternType="solid">
        <fgColor rgb="FFFFE8D6"/>
        <bgColor rgb="FFE8DFF5"/>
      </patternFill>
    </fill>
    <fill>
      <patternFill patternType="solid">
        <fgColor rgb="FFE8DFF5"/>
        <bgColor rgb="FFDCEEFB"/>
      </patternFill>
    </fill>
    <fill>
      <patternFill patternType="solid">
        <fgColor rgb="FFDFF5E3"/>
        <bgColor rgb="FFDCEEFB"/>
      </patternFill>
    </fill>
    <fill>
      <patternFill patternType="solid">
        <fgColor rgb="FFDCEEFB"/>
        <bgColor rgb="FFDFF5E3"/>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center" vertical="bottom"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5" fillId="2" borderId="0" xfId="0" applyFont="true" applyBorder="true" applyAlignment="false" applyProtection="false">
      <alignment horizontal="general" vertical="bottom" textRotation="0" wrapText="false" indent="0" shrinkToFit="false"/>
      <protection locked="true" hidden="false"/>
    </xf>
    <xf numFmtId="164" fontId="16" fillId="2"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E8D6"/>
      <rgbColor rgb="FFDCEEFB"/>
      <rgbColor rgb="FF660066"/>
      <rgbColor rgb="FFFF8080"/>
      <rgbColor rgb="FF0066CC"/>
      <rgbColor rgb="FFE8DFF5"/>
      <rgbColor rgb="FF000080"/>
      <rgbColor rgb="FFFF00FF"/>
      <rgbColor rgb="FFFFFF00"/>
      <rgbColor rgb="FF00FFFF"/>
      <rgbColor rgb="FF800080"/>
      <rgbColor rgb="FF800000"/>
      <rgbColor rgb="FF008080"/>
      <rgbColor rgb="FF0000FF"/>
      <rgbColor rgb="FF00CCFF"/>
      <rgbColor rgb="FFCCFFFF"/>
      <rgbColor rgb="FFDFF5E3"/>
      <rgbColor rgb="FFFFFF99"/>
      <rgbColor rgb="FF99CCFF"/>
      <rgbColor rgb="FFFF99CC"/>
      <rgbColor rgb="FFCC99FF"/>
      <rgbColor rgb="FFFFCC99"/>
      <rgbColor rgb="FF3366FF"/>
      <rgbColor rgb="FF33CCCC"/>
      <rgbColor rgb="FF99CC00"/>
      <rgbColor rgb="FFFFCC00"/>
      <rgbColor rgb="FFFF9900"/>
      <rgbColor rgb="FFFF6600"/>
      <rgbColor rgb="FF666666"/>
      <rgbColor rgb="FFAAAAAA"/>
      <rgbColor rgb="FF003366"/>
      <rgbColor rgb="FF339966"/>
      <rgbColor rgb="FF003300"/>
      <rgbColor rgb="FF333300"/>
      <rgbColor rgb="FFAA5500"/>
      <rgbColor rgb="FF993366"/>
      <rgbColor rgb="FF555555"/>
      <rgbColor rgb="FF4A4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9.7" hidden="false" customHeight="false" outlineLevel="0" collapsed="false">
      <c r="A1" s="1" t="s">
        <v>0</v>
      </c>
    </row>
    <row r="3" customFormat="false" ht="30" hidden="false" customHeight="true" outlineLevel="0" collapsed="false">
      <c r="A3" s="2" t="s">
        <v>1</v>
      </c>
    </row>
    <row r="5" customFormat="false" ht="15" hidden="false" customHeight="false" outlineLevel="0" collapsed="false">
      <c r="A5" s="3" t="s">
        <v>2</v>
      </c>
    </row>
    <row r="6" customFormat="false" ht="30" hidden="false" customHeight="true" outlineLevel="0" collapsed="false">
      <c r="A6" s="2" t="s">
        <v>3</v>
      </c>
    </row>
    <row r="7" customFormat="false" ht="45" hidden="false" customHeight="true" outlineLevel="0" collapsed="false">
      <c r="A7" s="2" t="s">
        <v>4</v>
      </c>
    </row>
    <row r="8" customFormat="false" ht="30" hidden="false" customHeight="true" outlineLevel="0" collapsed="false">
      <c r="A8" s="2" t="s">
        <v>5</v>
      </c>
    </row>
    <row r="10" customFormat="false" ht="15" hidden="false" customHeight="false" outlineLevel="0" collapsed="false">
      <c r="A10" s="3" t="s">
        <v>6</v>
      </c>
    </row>
    <row r="11" customFormat="false" ht="30" hidden="false" customHeight="true" outlineLevel="0" collapsed="false">
      <c r="A11" s="2" t="s">
        <v>7</v>
      </c>
    </row>
    <row r="12" customFormat="false" ht="30" hidden="false" customHeight="true" outlineLevel="0" collapsed="false">
      <c r="A12" s="2" t="s">
        <v>8</v>
      </c>
    </row>
    <row r="13" customFormat="false" ht="30" hidden="false" customHeight="true" outlineLevel="0" collapsed="false">
      <c r="A13" s="2" t="s">
        <v>9</v>
      </c>
    </row>
    <row r="14" customFormat="false" ht="45" hidden="false" customHeight="true" outlineLevel="0" collapsed="false">
      <c r="A14" s="2" t="s">
        <v>10</v>
      </c>
    </row>
    <row r="15" customFormat="false" ht="30" hidden="false" customHeight="true" outlineLevel="0" collapsed="false">
      <c r="A15" s="2" t="s">
        <v>11</v>
      </c>
    </row>
    <row r="17" customFormat="false" ht="15" hidden="false" customHeight="false" outlineLevel="0" collapsed="false">
      <c r="A17" s="3" t="s">
        <v>12</v>
      </c>
    </row>
    <row r="18" customFormat="false" ht="15" hidden="false" customHeight="false" outlineLevel="0" collapsed="false">
      <c r="A18" s="4" t="s">
        <v>13</v>
      </c>
    </row>
    <row r="19" customFormat="false" ht="15" hidden="false" customHeight="false" outlineLevel="0" collapsed="false">
      <c r="A19" s="4" t="s">
        <v>14</v>
      </c>
    </row>
    <row r="20" customFormat="false" ht="15" hidden="false" customHeight="false" outlineLevel="0" collapsed="false">
      <c r="A20" s="4" t="s">
        <v>15</v>
      </c>
    </row>
    <row r="22" customFormat="false" ht="15" hidden="false" customHeight="false" outlineLevel="0" collapsed="false">
      <c r="A22" s="3" t="s">
        <v>16</v>
      </c>
    </row>
    <row r="23" customFormat="false" ht="45" hidden="false" customHeight="true" outlineLevel="0" collapsed="false">
      <c r="A23" s="5"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8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22"/>
    <col collapsed="false" customWidth="true" hidden="false" outlineLevel="0" max="4" min="4" style="0" width="14"/>
    <col collapsed="false" customWidth="true" hidden="false" outlineLevel="0" max="5" min="5" style="0" width="8"/>
    <col collapsed="false" customWidth="true" hidden="false" outlineLevel="0" max="6" min="6" style="0" width="13"/>
    <col collapsed="false" customWidth="true" hidden="false" outlineLevel="0" max="7" min="7" style="0" width="20"/>
    <col collapsed="false" customWidth="true" hidden="false" outlineLevel="0" max="8" min="8" style="0" width="8"/>
    <col collapsed="false" customWidth="true" hidden="false" outlineLevel="0" max="9" min="9" style="0" width="32"/>
    <col collapsed="false" customWidth="true" hidden="false" outlineLevel="0" max="10" min="10" style="0" width="22"/>
    <col collapsed="false" customWidth="true" hidden="false" outlineLevel="0" max="11" min="11" style="0" width="28"/>
    <col collapsed="false" customWidth="true" hidden="false" outlineLevel="0" max="12" min="12" style="0" width="30"/>
    <col collapsed="false" customWidth="true" hidden="false" outlineLevel="0" max="14" min="13" style="0" width="22"/>
    <col collapsed="false" customWidth="true" hidden="false" outlineLevel="0" max="15" min="15" style="0" width="26"/>
    <col collapsed="false" customWidth="true" hidden="false" outlineLevel="0" max="16" min="16" style="0" width="20"/>
    <col collapsed="false" customWidth="true" hidden="false" outlineLevel="0" max="17" min="17" style="0" width="16"/>
    <col collapsed="false" customWidth="true" hidden="false" outlineLevel="0" max="18" min="18" style="0" width="18"/>
    <col collapsed="false" customWidth="true" hidden="false" outlineLevel="0" max="19" min="19" style="0" width="20"/>
    <col collapsed="false" customWidth="true" hidden="false" outlineLevel="0" max="21" min="20" style="0" width="26"/>
    <col collapsed="false" customWidth="true" hidden="false" outlineLevel="0" max="22" min="22" style="0" width="28"/>
    <col collapsed="false" customWidth="true" hidden="false" outlineLevel="0" max="25" min="23" style="0" width="26"/>
  </cols>
  <sheetData>
    <row r="1" customFormat="false" ht="31.5" hidden="false" customHeight="true" outlineLevel="0" collapsed="false">
      <c r="A1" s="6" t="s">
        <v>18</v>
      </c>
      <c r="B1" s="6" t="s">
        <v>19</v>
      </c>
      <c r="C1" s="6" t="s">
        <v>20</v>
      </c>
      <c r="D1" s="6" t="s">
        <v>21</v>
      </c>
      <c r="E1" s="6" t="s">
        <v>22</v>
      </c>
      <c r="F1" s="6" t="s">
        <v>23</v>
      </c>
      <c r="G1" s="6" t="s">
        <v>24</v>
      </c>
      <c r="H1" s="6" t="s">
        <v>25</v>
      </c>
      <c r="I1" s="6" t="s">
        <v>26</v>
      </c>
      <c r="J1" s="6" t="s">
        <v>27</v>
      </c>
      <c r="K1" s="6" t="s">
        <v>28</v>
      </c>
      <c r="L1" s="6" t="s">
        <v>29</v>
      </c>
      <c r="M1" s="6" t="s">
        <v>30</v>
      </c>
      <c r="N1" s="6" t="s">
        <v>31</v>
      </c>
      <c r="O1" s="6" t="s">
        <v>32</v>
      </c>
      <c r="P1" s="6" t="s">
        <v>33</v>
      </c>
      <c r="Q1" s="6" t="s">
        <v>34</v>
      </c>
      <c r="R1" s="6" t="s">
        <v>35</v>
      </c>
      <c r="S1" s="6" t="s">
        <v>36</v>
      </c>
      <c r="T1" s="6" t="s">
        <v>37</v>
      </c>
      <c r="U1" s="6" t="s">
        <v>38</v>
      </c>
      <c r="V1" s="6" t="s">
        <v>39</v>
      </c>
      <c r="W1" s="6" t="s">
        <v>40</v>
      </c>
      <c r="X1" s="6" t="s">
        <v>41</v>
      </c>
      <c r="Y1" s="6" t="s">
        <v>42</v>
      </c>
    </row>
    <row r="2" customFormat="false" ht="60" hidden="false" customHeight="true" outlineLevel="0" collapsed="false">
      <c r="A2" s="7" t="s">
        <v>43</v>
      </c>
      <c r="B2" s="7" t="s">
        <v>44</v>
      </c>
      <c r="C2" s="7" t="s">
        <v>45</v>
      </c>
      <c r="D2" s="7" t="s">
        <v>46</v>
      </c>
      <c r="E2" s="7" t="s">
        <v>47</v>
      </c>
      <c r="F2" s="7" t="s">
        <v>48</v>
      </c>
      <c r="G2" s="7" t="s">
        <v>49</v>
      </c>
      <c r="H2" s="7" t="s">
        <v>50</v>
      </c>
      <c r="I2" s="7" t="s">
        <v>51</v>
      </c>
      <c r="J2" s="7" t="s">
        <v>52</v>
      </c>
      <c r="K2" s="7" t="s">
        <v>53</v>
      </c>
      <c r="L2" s="7" t="s">
        <v>54</v>
      </c>
      <c r="M2" s="7" t="s">
        <v>55</v>
      </c>
      <c r="N2" s="7" t="s">
        <v>56</v>
      </c>
      <c r="O2" s="7" t="s">
        <v>57</v>
      </c>
      <c r="P2" s="7" t="s">
        <v>58</v>
      </c>
      <c r="Q2" s="7" t="s">
        <v>59</v>
      </c>
      <c r="R2" s="7" t="s">
        <v>60</v>
      </c>
      <c r="S2" s="7" t="s">
        <v>61</v>
      </c>
      <c r="T2" s="7" t="s">
        <v>62</v>
      </c>
      <c r="U2" s="7" t="s">
        <v>63</v>
      </c>
      <c r="V2" s="7" t="s">
        <v>64</v>
      </c>
      <c r="W2" s="7" t="s">
        <v>65</v>
      </c>
      <c r="X2" s="7" t="s">
        <v>66</v>
      </c>
      <c r="Y2" s="7" t="s">
        <v>67</v>
      </c>
    </row>
    <row r="3" customFormat="false" ht="15.75" hidden="false" customHeight="true" outlineLevel="0" collapsed="false">
      <c r="A3" s="8" t="n">
        <v>1</v>
      </c>
      <c r="B3" s="8"/>
      <c r="C3" s="8"/>
      <c r="D3" s="8"/>
      <c r="E3" s="8"/>
      <c r="F3" s="8"/>
      <c r="G3" s="8"/>
      <c r="H3" s="8"/>
      <c r="I3" s="8"/>
      <c r="J3" s="8"/>
      <c r="K3" s="8"/>
      <c r="L3" s="8"/>
      <c r="M3" s="8"/>
      <c r="N3" s="8"/>
      <c r="O3" s="8"/>
      <c r="P3" s="8"/>
      <c r="Q3" s="8"/>
      <c r="R3" s="8"/>
      <c r="S3" s="8"/>
      <c r="T3" s="8"/>
      <c r="U3" s="8"/>
      <c r="V3" s="8"/>
      <c r="W3" s="8"/>
      <c r="X3" s="8"/>
      <c r="Y3" s="8"/>
    </row>
    <row r="4" customFormat="false" ht="15.75" hidden="false" customHeight="true" outlineLevel="0" collapsed="false">
      <c r="A4" s="8" t="n">
        <v>2</v>
      </c>
      <c r="B4" s="8"/>
      <c r="C4" s="8"/>
      <c r="D4" s="8"/>
      <c r="E4" s="8"/>
      <c r="F4" s="8"/>
      <c r="G4" s="8"/>
      <c r="H4" s="8"/>
      <c r="I4" s="8"/>
      <c r="J4" s="8"/>
      <c r="K4" s="8"/>
      <c r="L4" s="8"/>
      <c r="M4" s="8"/>
      <c r="N4" s="8"/>
      <c r="O4" s="8"/>
      <c r="P4" s="8"/>
      <c r="Q4" s="8"/>
      <c r="R4" s="8"/>
      <c r="S4" s="8"/>
      <c r="T4" s="8"/>
      <c r="U4" s="8"/>
      <c r="V4" s="8"/>
      <c r="W4" s="8"/>
      <c r="X4" s="8"/>
      <c r="Y4" s="8"/>
    </row>
    <row r="5" customFormat="false" ht="15.75" hidden="false" customHeight="true" outlineLevel="0" collapsed="false">
      <c r="A5" s="8" t="n">
        <v>3</v>
      </c>
      <c r="B5" s="8"/>
      <c r="C5" s="8"/>
      <c r="D5" s="8"/>
      <c r="E5" s="8"/>
      <c r="F5" s="8"/>
      <c r="G5" s="8"/>
      <c r="H5" s="8"/>
      <c r="I5" s="8"/>
      <c r="J5" s="8"/>
      <c r="K5" s="8"/>
      <c r="L5" s="8"/>
      <c r="M5" s="8"/>
      <c r="N5" s="8"/>
      <c r="O5" s="8"/>
      <c r="P5" s="8"/>
      <c r="Q5" s="8"/>
      <c r="R5" s="8"/>
      <c r="S5" s="8"/>
      <c r="T5" s="8"/>
      <c r="U5" s="8"/>
      <c r="V5" s="8"/>
      <c r="W5" s="8"/>
      <c r="X5" s="8"/>
      <c r="Y5" s="8"/>
    </row>
    <row r="6" customFormat="false" ht="15.75" hidden="false" customHeight="true" outlineLevel="0" collapsed="false">
      <c r="A6" s="8" t="n">
        <v>4</v>
      </c>
      <c r="B6" s="8"/>
      <c r="C6" s="8"/>
      <c r="D6" s="8"/>
      <c r="E6" s="8"/>
      <c r="F6" s="8"/>
      <c r="G6" s="8"/>
      <c r="H6" s="8"/>
      <c r="I6" s="8"/>
      <c r="J6" s="8"/>
      <c r="K6" s="8"/>
      <c r="L6" s="8"/>
      <c r="M6" s="8"/>
      <c r="N6" s="8"/>
      <c r="O6" s="8"/>
      <c r="P6" s="8"/>
      <c r="Q6" s="8"/>
      <c r="R6" s="8"/>
      <c r="S6" s="8"/>
      <c r="T6" s="8"/>
      <c r="U6" s="8"/>
      <c r="V6" s="8"/>
      <c r="W6" s="8"/>
      <c r="X6" s="8"/>
      <c r="Y6" s="8"/>
    </row>
    <row r="7" customFormat="false" ht="15.75" hidden="false" customHeight="true" outlineLevel="0" collapsed="false">
      <c r="A7" s="8" t="n">
        <v>5</v>
      </c>
      <c r="B7" s="8"/>
      <c r="C7" s="8"/>
      <c r="D7" s="8"/>
      <c r="E7" s="8"/>
      <c r="F7" s="8"/>
      <c r="G7" s="8"/>
      <c r="H7" s="8"/>
      <c r="I7" s="8"/>
      <c r="J7" s="8"/>
      <c r="K7" s="8"/>
      <c r="L7" s="8"/>
      <c r="M7" s="8"/>
      <c r="N7" s="8"/>
      <c r="O7" s="8"/>
      <c r="P7" s="8"/>
      <c r="Q7" s="8"/>
      <c r="R7" s="8"/>
      <c r="S7" s="8"/>
      <c r="T7" s="8"/>
      <c r="U7" s="8"/>
      <c r="V7" s="8"/>
      <c r="W7" s="8"/>
      <c r="X7" s="8"/>
      <c r="Y7" s="8"/>
    </row>
    <row r="8" customFormat="false" ht="15.75" hidden="false" customHeight="true" outlineLevel="0" collapsed="false">
      <c r="A8" s="8" t="n">
        <v>6</v>
      </c>
      <c r="B8" s="8"/>
      <c r="C8" s="8"/>
      <c r="D8" s="8"/>
      <c r="E8" s="8"/>
      <c r="F8" s="8"/>
      <c r="G8" s="8"/>
      <c r="H8" s="8"/>
      <c r="I8" s="8"/>
      <c r="J8" s="8"/>
      <c r="K8" s="8"/>
      <c r="L8" s="8"/>
      <c r="M8" s="8"/>
      <c r="N8" s="8"/>
      <c r="O8" s="8"/>
      <c r="P8" s="8"/>
      <c r="Q8" s="8"/>
      <c r="R8" s="8"/>
      <c r="S8" s="8"/>
      <c r="T8" s="8"/>
      <c r="U8" s="8"/>
      <c r="V8" s="8"/>
      <c r="W8" s="8"/>
      <c r="X8" s="8"/>
      <c r="Y8" s="8"/>
    </row>
    <row r="9" customFormat="false" ht="15.75" hidden="false" customHeight="true" outlineLevel="0" collapsed="false">
      <c r="A9" s="8" t="n">
        <v>7</v>
      </c>
      <c r="B9" s="8"/>
      <c r="C9" s="8"/>
      <c r="D9" s="8"/>
      <c r="E9" s="8"/>
      <c r="F9" s="8"/>
      <c r="G9" s="8"/>
      <c r="H9" s="8"/>
      <c r="I9" s="8"/>
      <c r="J9" s="8"/>
      <c r="K9" s="8"/>
      <c r="L9" s="8"/>
      <c r="M9" s="8"/>
      <c r="N9" s="8"/>
      <c r="O9" s="8"/>
      <c r="P9" s="8"/>
      <c r="Q9" s="8"/>
      <c r="R9" s="8"/>
      <c r="S9" s="8"/>
      <c r="T9" s="8"/>
      <c r="U9" s="8"/>
      <c r="V9" s="8"/>
      <c r="W9" s="8"/>
      <c r="X9" s="8"/>
      <c r="Y9" s="8"/>
    </row>
    <row r="10" customFormat="false" ht="15.75" hidden="false" customHeight="true" outlineLevel="0" collapsed="false">
      <c r="A10" s="8" t="n">
        <v>8</v>
      </c>
      <c r="B10" s="8"/>
      <c r="C10" s="8"/>
      <c r="D10" s="8"/>
      <c r="E10" s="8"/>
      <c r="F10" s="8"/>
      <c r="G10" s="8"/>
      <c r="H10" s="8"/>
      <c r="I10" s="8"/>
      <c r="J10" s="8"/>
      <c r="K10" s="8"/>
      <c r="L10" s="8"/>
      <c r="M10" s="8"/>
      <c r="N10" s="8"/>
      <c r="O10" s="8"/>
      <c r="P10" s="8"/>
      <c r="Q10" s="8"/>
      <c r="R10" s="8"/>
      <c r="S10" s="8"/>
      <c r="T10" s="8"/>
      <c r="U10" s="8"/>
      <c r="V10" s="8"/>
      <c r="W10" s="8"/>
      <c r="X10" s="8"/>
      <c r="Y10" s="8"/>
    </row>
    <row r="11" customFormat="false" ht="15.75" hidden="false" customHeight="true" outlineLevel="0" collapsed="false">
      <c r="A11" s="8" t="n">
        <v>9</v>
      </c>
      <c r="B11" s="8"/>
      <c r="C11" s="8"/>
      <c r="D11" s="8"/>
      <c r="E11" s="8"/>
      <c r="F11" s="8"/>
      <c r="G11" s="8"/>
      <c r="H11" s="8"/>
      <c r="I11" s="8"/>
      <c r="J11" s="8"/>
      <c r="K11" s="8"/>
      <c r="L11" s="8"/>
      <c r="M11" s="8"/>
      <c r="N11" s="8"/>
      <c r="O11" s="8"/>
      <c r="P11" s="8"/>
      <c r="Q11" s="8"/>
      <c r="R11" s="8"/>
      <c r="S11" s="8"/>
      <c r="T11" s="8"/>
      <c r="U11" s="8"/>
      <c r="V11" s="8"/>
      <c r="W11" s="8"/>
      <c r="X11" s="8"/>
      <c r="Y11" s="8"/>
    </row>
    <row r="12" customFormat="false" ht="15.75" hidden="false" customHeight="true" outlineLevel="0" collapsed="false">
      <c r="A12" s="8" t="n">
        <v>10</v>
      </c>
      <c r="B12" s="8"/>
      <c r="C12" s="8"/>
      <c r="D12" s="8"/>
      <c r="E12" s="8"/>
      <c r="F12" s="8"/>
      <c r="G12" s="8"/>
      <c r="H12" s="8"/>
      <c r="I12" s="8"/>
      <c r="J12" s="8"/>
      <c r="K12" s="8"/>
      <c r="L12" s="8"/>
      <c r="M12" s="8"/>
      <c r="N12" s="8"/>
      <c r="O12" s="8"/>
      <c r="P12" s="8"/>
      <c r="Q12" s="8"/>
      <c r="R12" s="8"/>
      <c r="S12" s="8"/>
      <c r="T12" s="8"/>
      <c r="U12" s="8"/>
      <c r="V12" s="8"/>
      <c r="W12" s="8"/>
      <c r="X12" s="8"/>
      <c r="Y12" s="8"/>
    </row>
    <row r="13" customFormat="false" ht="15.75" hidden="false" customHeight="true" outlineLevel="0" collapsed="false">
      <c r="A13" s="8" t="n">
        <v>11</v>
      </c>
      <c r="B13" s="8"/>
      <c r="C13" s="8"/>
      <c r="D13" s="8"/>
      <c r="E13" s="8"/>
      <c r="F13" s="8"/>
      <c r="G13" s="8"/>
      <c r="H13" s="8"/>
      <c r="I13" s="8"/>
      <c r="J13" s="8"/>
      <c r="K13" s="8"/>
      <c r="L13" s="8"/>
      <c r="M13" s="8"/>
      <c r="N13" s="8"/>
      <c r="O13" s="8"/>
      <c r="P13" s="8"/>
      <c r="Q13" s="8"/>
      <c r="R13" s="8"/>
      <c r="S13" s="8"/>
      <c r="T13" s="8"/>
      <c r="U13" s="8"/>
      <c r="V13" s="8"/>
      <c r="W13" s="8"/>
      <c r="X13" s="8"/>
      <c r="Y13" s="8"/>
    </row>
    <row r="14" customFormat="false" ht="15.75" hidden="false" customHeight="true" outlineLevel="0" collapsed="false">
      <c r="A14" s="8" t="n">
        <v>12</v>
      </c>
      <c r="B14" s="8"/>
      <c r="C14" s="8"/>
      <c r="D14" s="8"/>
      <c r="E14" s="8"/>
      <c r="F14" s="8"/>
      <c r="G14" s="8"/>
      <c r="H14" s="8"/>
      <c r="I14" s="8"/>
      <c r="J14" s="8"/>
      <c r="K14" s="8"/>
      <c r="L14" s="8"/>
      <c r="M14" s="8"/>
      <c r="N14" s="8"/>
      <c r="O14" s="8"/>
      <c r="P14" s="8"/>
      <c r="Q14" s="8"/>
      <c r="R14" s="8"/>
      <c r="S14" s="8"/>
      <c r="T14" s="8"/>
      <c r="U14" s="8"/>
      <c r="V14" s="8"/>
      <c r="W14" s="8"/>
      <c r="X14" s="8"/>
      <c r="Y14" s="8"/>
    </row>
    <row r="15" customFormat="false" ht="15.75" hidden="false" customHeight="true" outlineLevel="0" collapsed="false">
      <c r="A15" s="8" t="n">
        <v>13</v>
      </c>
      <c r="B15" s="8"/>
      <c r="C15" s="8"/>
      <c r="D15" s="8"/>
      <c r="E15" s="8"/>
      <c r="F15" s="8"/>
      <c r="G15" s="8"/>
      <c r="H15" s="8"/>
      <c r="I15" s="8"/>
      <c r="J15" s="8"/>
      <c r="K15" s="8"/>
      <c r="L15" s="8"/>
      <c r="M15" s="8"/>
      <c r="N15" s="8"/>
      <c r="O15" s="8"/>
      <c r="P15" s="8"/>
      <c r="Q15" s="8"/>
      <c r="R15" s="8"/>
      <c r="S15" s="8"/>
      <c r="T15" s="8"/>
      <c r="U15" s="8"/>
      <c r="V15" s="8"/>
      <c r="W15" s="8"/>
      <c r="X15" s="8"/>
      <c r="Y15" s="8"/>
    </row>
    <row r="16" customFormat="false" ht="15.75" hidden="false" customHeight="true" outlineLevel="0" collapsed="false">
      <c r="A16" s="8" t="n">
        <v>14</v>
      </c>
      <c r="B16" s="8"/>
      <c r="C16" s="8"/>
      <c r="D16" s="8"/>
      <c r="E16" s="8"/>
      <c r="F16" s="8"/>
      <c r="G16" s="8"/>
      <c r="H16" s="8"/>
      <c r="I16" s="8"/>
      <c r="J16" s="8"/>
      <c r="K16" s="8"/>
      <c r="L16" s="8"/>
      <c r="M16" s="8"/>
      <c r="N16" s="8"/>
      <c r="O16" s="8"/>
      <c r="P16" s="8"/>
      <c r="Q16" s="8"/>
      <c r="R16" s="8"/>
      <c r="S16" s="8"/>
      <c r="T16" s="8"/>
      <c r="U16" s="8"/>
      <c r="V16" s="8"/>
      <c r="W16" s="8"/>
      <c r="X16" s="8"/>
      <c r="Y16" s="8"/>
    </row>
    <row r="17" customFormat="false" ht="15.75" hidden="false" customHeight="true" outlineLevel="0" collapsed="false">
      <c r="A17" s="8" t="n">
        <v>15</v>
      </c>
      <c r="B17" s="8"/>
      <c r="C17" s="8"/>
      <c r="D17" s="8"/>
      <c r="E17" s="8"/>
      <c r="F17" s="8"/>
      <c r="G17" s="8"/>
      <c r="H17" s="8"/>
      <c r="I17" s="8"/>
      <c r="J17" s="8"/>
      <c r="K17" s="8"/>
      <c r="L17" s="8"/>
      <c r="M17" s="8"/>
      <c r="N17" s="8"/>
      <c r="O17" s="8"/>
      <c r="P17" s="8"/>
      <c r="Q17" s="8"/>
      <c r="R17" s="8"/>
      <c r="S17" s="8"/>
      <c r="T17" s="8"/>
      <c r="U17" s="8"/>
      <c r="V17" s="8"/>
      <c r="W17" s="8"/>
      <c r="X17" s="8"/>
      <c r="Y17" s="8"/>
    </row>
    <row r="18" customFormat="false" ht="15.75" hidden="false" customHeight="true" outlineLevel="0" collapsed="false">
      <c r="A18" s="8" t="n">
        <v>16</v>
      </c>
      <c r="B18" s="8"/>
      <c r="C18" s="8"/>
      <c r="D18" s="8"/>
      <c r="E18" s="8"/>
      <c r="F18" s="8"/>
      <c r="G18" s="8"/>
      <c r="H18" s="8"/>
      <c r="I18" s="8"/>
      <c r="J18" s="8"/>
      <c r="K18" s="8"/>
      <c r="L18" s="8"/>
      <c r="M18" s="8"/>
      <c r="N18" s="8"/>
      <c r="O18" s="8"/>
      <c r="P18" s="8"/>
      <c r="Q18" s="8"/>
      <c r="R18" s="8"/>
      <c r="S18" s="8"/>
      <c r="T18" s="8"/>
      <c r="U18" s="8"/>
      <c r="V18" s="8"/>
      <c r="W18" s="8"/>
      <c r="X18" s="8"/>
      <c r="Y18" s="8"/>
    </row>
    <row r="19" customFormat="false" ht="15.75" hidden="false" customHeight="true" outlineLevel="0" collapsed="false">
      <c r="A19" s="8" t="n">
        <v>17</v>
      </c>
      <c r="B19" s="8"/>
      <c r="C19" s="8"/>
      <c r="D19" s="8"/>
      <c r="E19" s="8"/>
      <c r="F19" s="8"/>
      <c r="G19" s="8"/>
      <c r="H19" s="8"/>
      <c r="I19" s="8"/>
      <c r="J19" s="8"/>
      <c r="K19" s="8"/>
      <c r="L19" s="8"/>
      <c r="M19" s="8"/>
      <c r="N19" s="8"/>
      <c r="O19" s="8"/>
      <c r="P19" s="8"/>
      <c r="Q19" s="8"/>
      <c r="R19" s="8"/>
      <c r="S19" s="8"/>
      <c r="T19" s="8"/>
      <c r="U19" s="8"/>
      <c r="V19" s="8"/>
      <c r="W19" s="8"/>
      <c r="X19" s="8"/>
      <c r="Y19" s="8"/>
    </row>
    <row r="20" customFormat="false" ht="15.75" hidden="false" customHeight="true" outlineLevel="0" collapsed="false">
      <c r="A20" s="8" t="n">
        <v>18</v>
      </c>
      <c r="B20" s="8"/>
      <c r="C20" s="8"/>
      <c r="D20" s="8"/>
      <c r="E20" s="8"/>
      <c r="F20" s="8"/>
      <c r="G20" s="8"/>
      <c r="H20" s="8"/>
      <c r="I20" s="8"/>
      <c r="J20" s="8"/>
      <c r="K20" s="8"/>
      <c r="L20" s="8"/>
      <c r="M20" s="8"/>
      <c r="N20" s="8"/>
      <c r="O20" s="8"/>
      <c r="P20" s="8"/>
      <c r="Q20" s="8"/>
      <c r="R20" s="8"/>
      <c r="S20" s="8"/>
      <c r="T20" s="8"/>
      <c r="U20" s="8"/>
      <c r="V20" s="8"/>
      <c r="W20" s="8"/>
      <c r="X20" s="8"/>
      <c r="Y20" s="8"/>
    </row>
    <row r="21" customFormat="false" ht="15.75" hidden="false" customHeight="true" outlineLevel="0" collapsed="false">
      <c r="A21" s="8" t="n">
        <v>19</v>
      </c>
      <c r="B21" s="8"/>
      <c r="C21" s="8"/>
      <c r="D21" s="8"/>
      <c r="E21" s="8"/>
      <c r="F21" s="8"/>
      <c r="G21" s="8"/>
      <c r="H21" s="8"/>
      <c r="I21" s="8"/>
      <c r="J21" s="8"/>
      <c r="K21" s="8"/>
      <c r="L21" s="8"/>
      <c r="M21" s="8"/>
      <c r="N21" s="8"/>
      <c r="O21" s="8"/>
      <c r="P21" s="8"/>
      <c r="Q21" s="8"/>
      <c r="R21" s="8"/>
      <c r="S21" s="8"/>
      <c r="T21" s="8"/>
      <c r="U21" s="8"/>
      <c r="V21" s="8"/>
      <c r="W21" s="8"/>
      <c r="X21" s="8"/>
      <c r="Y21" s="8"/>
    </row>
    <row r="22" customFormat="false" ht="15.75" hidden="false" customHeight="true" outlineLevel="0" collapsed="false">
      <c r="A22" s="8" t="n">
        <v>20</v>
      </c>
      <c r="B22" s="8"/>
      <c r="C22" s="8"/>
      <c r="D22" s="8"/>
      <c r="E22" s="8"/>
      <c r="F22" s="8"/>
      <c r="G22" s="8"/>
      <c r="H22" s="8"/>
      <c r="I22" s="8"/>
      <c r="J22" s="8"/>
      <c r="K22" s="8"/>
      <c r="L22" s="8"/>
      <c r="M22" s="8"/>
      <c r="N22" s="8"/>
      <c r="O22" s="8"/>
      <c r="P22" s="8"/>
      <c r="Q22" s="8"/>
      <c r="R22" s="8"/>
      <c r="S22" s="8"/>
      <c r="T22" s="8"/>
      <c r="U22" s="8"/>
      <c r="V22" s="8"/>
      <c r="W22" s="8"/>
      <c r="X22" s="8"/>
      <c r="Y22" s="8"/>
    </row>
    <row r="23" customFormat="false" ht="15.75" hidden="false" customHeight="true" outlineLevel="0" collapsed="false">
      <c r="A23" s="8" t="n">
        <v>21</v>
      </c>
      <c r="B23" s="8"/>
      <c r="C23" s="8"/>
      <c r="D23" s="8"/>
      <c r="E23" s="8"/>
      <c r="F23" s="8"/>
      <c r="G23" s="8"/>
      <c r="H23" s="8"/>
      <c r="I23" s="8"/>
      <c r="J23" s="8"/>
      <c r="K23" s="8"/>
      <c r="L23" s="8"/>
      <c r="M23" s="8"/>
      <c r="N23" s="8"/>
      <c r="O23" s="8"/>
      <c r="P23" s="8"/>
      <c r="Q23" s="8"/>
      <c r="R23" s="8"/>
      <c r="S23" s="8"/>
      <c r="T23" s="8"/>
      <c r="U23" s="8"/>
      <c r="V23" s="8"/>
      <c r="W23" s="8"/>
      <c r="X23" s="8"/>
      <c r="Y23" s="8"/>
    </row>
    <row r="24" customFormat="false" ht="15.75" hidden="false" customHeight="true" outlineLevel="0" collapsed="false">
      <c r="A24" s="8" t="n">
        <v>22</v>
      </c>
      <c r="B24" s="8"/>
      <c r="C24" s="8"/>
      <c r="D24" s="8"/>
      <c r="E24" s="8"/>
      <c r="F24" s="8"/>
      <c r="G24" s="8"/>
      <c r="H24" s="8"/>
      <c r="I24" s="8"/>
      <c r="J24" s="8"/>
      <c r="K24" s="8"/>
      <c r="L24" s="8"/>
      <c r="M24" s="8"/>
      <c r="N24" s="8"/>
      <c r="O24" s="8"/>
      <c r="P24" s="8"/>
      <c r="Q24" s="8"/>
      <c r="R24" s="8"/>
      <c r="S24" s="8"/>
      <c r="T24" s="8"/>
      <c r="U24" s="8"/>
      <c r="V24" s="8"/>
      <c r="W24" s="8"/>
      <c r="X24" s="8"/>
      <c r="Y24" s="8"/>
    </row>
    <row r="25" customFormat="false" ht="15.75" hidden="false" customHeight="true" outlineLevel="0" collapsed="false">
      <c r="A25" s="8" t="n">
        <v>23</v>
      </c>
      <c r="B25" s="8"/>
      <c r="C25" s="8"/>
      <c r="D25" s="8"/>
      <c r="E25" s="8"/>
      <c r="F25" s="8"/>
      <c r="G25" s="8"/>
      <c r="H25" s="8"/>
      <c r="I25" s="8"/>
      <c r="J25" s="8"/>
      <c r="K25" s="8"/>
      <c r="L25" s="8"/>
      <c r="M25" s="8"/>
      <c r="N25" s="8"/>
      <c r="O25" s="8"/>
      <c r="P25" s="8"/>
      <c r="Q25" s="8"/>
      <c r="R25" s="8"/>
      <c r="S25" s="8"/>
      <c r="T25" s="8"/>
      <c r="U25" s="8"/>
      <c r="V25" s="8"/>
      <c r="W25" s="8"/>
      <c r="X25" s="8"/>
      <c r="Y25" s="8"/>
    </row>
    <row r="26" customFormat="false" ht="15.75" hidden="false" customHeight="true" outlineLevel="0" collapsed="false">
      <c r="A26" s="8" t="n">
        <v>24</v>
      </c>
      <c r="B26" s="8"/>
      <c r="C26" s="8"/>
      <c r="D26" s="8"/>
      <c r="E26" s="8"/>
      <c r="F26" s="8"/>
      <c r="G26" s="8"/>
      <c r="H26" s="8"/>
      <c r="I26" s="8"/>
      <c r="J26" s="8"/>
      <c r="K26" s="8"/>
      <c r="L26" s="8"/>
      <c r="M26" s="8"/>
      <c r="N26" s="8"/>
      <c r="O26" s="8"/>
      <c r="P26" s="8"/>
      <c r="Q26" s="8"/>
      <c r="R26" s="8"/>
      <c r="S26" s="8"/>
      <c r="T26" s="8"/>
      <c r="U26" s="8"/>
      <c r="V26" s="8"/>
      <c r="W26" s="8"/>
      <c r="X26" s="8"/>
      <c r="Y26" s="8"/>
    </row>
    <row r="27" customFormat="false" ht="15.75" hidden="false" customHeight="true" outlineLevel="0" collapsed="false">
      <c r="A27" s="8" t="n">
        <v>25</v>
      </c>
      <c r="B27" s="8"/>
      <c r="C27" s="8"/>
      <c r="D27" s="8"/>
      <c r="E27" s="8"/>
      <c r="F27" s="8"/>
      <c r="G27" s="8"/>
      <c r="H27" s="8"/>
      <c r="I27" s="8"/>
      <c r="J27" s="8"/>
      <c r="K27" s="8"/>
      <c r="L27" s="8"/>
      <c r="M27" s="8"/>
      <c r="N27" s="8"/>
      <c r="O27" s="8"/>
      <c r="P27" s="8"/>
      <c r="Q27" s="8"/>
      <c r="R27" s="8"/>
      <c r="S27" s="8"/>
      <c r="T27" s="8"/>
      <c r="U27" s="8"/>
      <c r="V27" s="8"/>
      <c r="W27" s="8"/>
      <c r="X27" s="8"/>
      <c r="Y27" s="8"/>
    </row>
    <row r="28" customFormat="false" ht="15.75" hidden="false" customHeight="true" outlineLevel="0" collapsed="false">
      <c r="A28" s="8" t="n">
        <v>26</v>
      </c>
      <c r="B28" s="8"/>
      <c r="C28" s="8"/>
      <c r="D28" s="8"/>
      <c r="E28" s="8"/>
      <c r="F28" s="8"/>
      <c r="G28" s="8"/>
      <c r="H28" s="8"/>
      <c r="I28" s="8"/>
      <c r="J28" s="8"/>
      <c r="K28" s="8"/>
      <c r="L28" s="8"/>
      <c r="M28" s="8"/>
      <c r="N28" s="8"/>
      <c r="O28" s="8"/>
      <c r="P28" s="8"/>
      <c r="Q28" s="8"/>
      <c r="R28" s="8"/>
      <c r="S28" s="8"/>
      <c r="T28" s="8"/>
      <c r="U28" s="8"/>
      <c r="V28" s="8"/>
      <c r="W28" s="8"/>
      <c r="X28" s="8"/>
      <c r="Y28" s="8"/>
    </row>
    <row r="29" customFormat="false" ht="15.75" hidden="false" customHeight="true" outlineLevel="0" collapsed="false">
      <c r="A29" s="8" t="n">
        <v>27</v>
      </c>
      <c r="B29" s="8"/>
      <c r="C29" s="8"/>
      <c r="D29" s="8"/>
      <c r="E29" s="8"/>
      <c r="F29" s="8"/>
      <c r="G29" s="8"/>
      <c r="H29" s="8"/>
      <c r="I29" s="8"/>
      <c r="J29" s="8"/>
      <c r="K29" s="8"/>
      <c r="L29" s="8"/>
      <c r="M29" s="8"/>
      <c r="N29" s="8"/>
      <c r="O29" s="8"/>
      <c r="P29" s="8"/>
      <c r="Q29" s="8"/>
      <c r="R29" s="8"/>
      <c r="S29" s="8"/>
      <c r="T29" s="8"/>
      <c r="U29" s="8"/>
      <c r="V29" s="8"/>
      <c r="W29" s="8"/>
      <c r="X29" s="8"/>
      <c r="Y29" s="8"/>
    </row>
    <row r="30" customFormat="false" ht="15.75" hidden="false" customHeight="true" outlineLevel="0" collapsed="false">
      <c r="A30" s="8" t="n">
        <v>28</v>
      </c>
      <c r="B30" s="8"/>
      <c r="C30" s="8"/>
      <c r="D30" s="8"/>
      <c r="E30" s="8"/>
      <c r="F30" s="8"/>
      <c r="G30" s="8"/>
      <c r="H30" s="8"/>
      <c r="I30" s="8"/>
      <c r="J30" s="8"/>
      <c r="K30" s="8"/>
      <c r="L30" s="8"/>
      <c r="M30" s="8"/>
      <c r="N30" s="8"/>
      <c r="O30" s="8"/>
      <c r="P30" s="8"/>
      <c r="Q30" s="8"/>
      <c r="R30" s="8"/>
      <c r="S30" s="8"/>
      <c r="T30" s="8"/>
      <c r="U30" s="8"/>
      <c r="V30" s="8"/>
      <c r="W30" s="8"/>
      <c r="X30" s="8"/>
      <c r="Y30" s="8"/>
    </row>
    <row r="31" customFormat="false" ht="15.75" hidden="false" customHeight="true" outlineLevel="0" collapsed="false">
      <c r="A31" s="8" t="n">
        <v>29</v>
      </c>
      <c r="B31" s="8"/>
      <c r="C31" s="8"/>
      <c r="D31" s="8"/>
      <c r="E31" s="8"/>
      <c r="F31" s="8"/>
      <c r="G31" s="8"/>
      <c r="H31" s="8"/>
      <c r="I31" s="8"/>
      <c r="J31" s="8"/>
      <c r="K31" s="8"/>
      <c r="L31" s="8"/>
      <c r="M31" s="8"/>
      <c r="N31" s="8"/>
      <c r="O31" s="8"/>
      <c r="P31" s="8"/>
      <c r="Q31" s="8"/>
      <c r="R31" s="8"/>
      <c r="S31" s="8"/>
      <c r="T31" s="8"/>
      <c r="U31" s="8"/>
      <c r="V31" s="8"/>
      <c r="W31" s="8"/>
      <c r="X31" s="8"/>
      <c r="Y31" s="8"/>
    </row>
    <row r="32" customFormat="false" ht="15.75" hidden="false" customHeight="true" outlineLevel="0" collapsed="false">
      <c r="A32" s="8" t="n">
        <v>30</v>
      </c>
      <c r="B32" s="8"/>
      <c r="C32" s="8"/>
      <c r="D32" s="8"/>
      <c r="E32" s="8"/>
      <c r="F32" s="8"/>
      <c r="G32" s="8"/>
      <c r="H32" s="8"/>
      <c r="I32" s="8"/>
      <c r="J32" s="8"/>
      <c r="K32" s="8"/>
      <c r="L32" s="8"/>
      <c r="M32" s="8"/>
      <c r="N32" s="8"/>
      <c r="O32" s="8"/>
      <c r="P32" s="8"/>
      <c r="Q32" s="8"/>
      <c r="R32" s="8"/>
      <c r="S32" s="8"/>
      <c r="T32" s="8"/>
      <c r="U32" s="8"/>
      <c r="V32" s="8"/>
      <c r="W32" s="8"/>
      <c r="X32" s="8"/>
      <c r="Y32" s="8"/>
    </row>
    <row r="33" customFormat="false" ht="15.75" hidden="false" customHeight="true" outlineLevel="0" collapsed="false">
      <c r="A33" s="8" t="n">
        <v>31</v>
      </c>
      <c r="B33" s="8"/>
      <c r="C33" s="8"/>
      <c r="D33" s="8"/>
      <c r="E33" s="8"/>
      <c r="F33" s="8"/>
      <c r="G33" s="8"/>
      <c r="H33" s="8"/>
      <c r="I33" s="8"/>
      <c r="J33" s="8"/>
      <c r="K33" s="8"/>
      <c r="L33" s="8"/>
      <c r="M33" s="8"/>
      <c r="N33" s="8"/>
      <c r="O33" s="8"/>
      <c r="P33" s="8"/>
      <c r="Q33" s="8"/>
      <c r="R33" s="8"/>
      <c r="S33" s="8"/>
      <c r="T33" s="8"/>
      <c r="U33" s="8"/>
      <c r="V33" s="8"/>
      <c r="W33" s="8"/>
      <c r="X33" s="8"/>
      <c r="Y33" s="8"/>
    </row>
    <row r="34" customFormat="false" ht="15.75" hidden="false" customHeight="true" outlineLevel="0" collapsed="false">
      <c r="A34" s="8" t="n">
        <v>32</v>
      </c>
      <c r="B34" s="8"/>
      <c r="C34" s="8"/>
      <c r="D34" s="8"/>
      <c r="E34" s="8"/>
      <c r="F34" s="8"/>
      <c r="G34" s="8"/>
      <c r="H34" s="8"/>
      <c r="I34" s="8"/>
      <c r="J34" s="8"/>
      <c r="K34" s="8"/>
      <c r="L34" s="8"/>
      <c r="M34" s="8"/>
      <c r="N34" s="8"/>
      <c r="O34" s="8"/>
      <c r="P34" s="8"/>
      <c r="Q34" s="8"/>
      <c r="R34" s="8"/>
      <c r="S34" s="8"/>
      <c r="T34" s="8"/>
      <c r="U34" s="8"/>
      <c r="V34" s="8"/>
      <c r="W34" s="8"/>
      <c r="X34" s="8"/>
      <c r="Y34" s="8"/>
    </row>
    <row r="35" customFormat="false" ht="15.75" hidden="false" customHeight="true" outlineLevel="0" collapsed="false">
      <c r="A35" s="8" t="n">
        <v>33</v>
      </c>
      <c r="B35" s="8"/>
      <c r="C35" s="8"/>
      <c r="D35" s="8"/>
      <c r="E35" s="8"/>
      <c r="F35" s="8"/>
      <c r="G35" s="8"/>
      <c r="H35" s="8"/>
      <c r="I35" s="8"/>
      <c r="J35" s="8"/>
      <c r="K35" s="8"/>
      <c r="L35" s="8"/>
      <c r="M35" s="8"/>
      <c r="N35" s="8"/>
      <c r="O35" s="8"/>
      <c r="P35" s="8"/>
      <c r="Q35" s="8"/>
      <c r="R35" s="8"/>
      <c r="S35" s="8"/>
      <c r="T35" s="8"/>
      <c r="U35" s="8"/>
      <c r="V35" s="8"/>
      <c r="W35" s="8"/>
      <c r="X35" s="8"/>
      <c r="Y35" s="8"/>
    </row>
    <row r="36" customFormat="false" ht="15.75" hidden="false" customHeight="true" outlineLevel="0" collapsed="false">
      <c r="A36" s="8" t="n">
        <v>34</v>
      </c>
      <c r="B36" s="8"/>
      <c r="C36" s="8"/>
      <c r="D36" s="8"/>
      <c r="E36" s="8"/>
      <c r="F36" s="8"/>
      <c r="G36" s="8"/>
      <c r="H36" s="8"/>
      <c r="I36" s="8"/>
      <c r="J36" s="8"/>
      <c r="K36" s="8"/>
      <c r="L36" s="8"/>
      <c r="M36" s="8"/>
      <c r="N36" s="8"/>
      <c r="O36" s="8"/>
      <c r="P36" s="8"/>
      <c r="Q36" s="8"/>
      <c r="R36" s="8"/>
      <c r="S36" s="8"/>
      <c r="T36" s="8"/>
      <c r="U36" s="8"/>
      <c r="V36" s="8"/>
      <c r="W36" s="8"/>
      <c r="X36" s="8"/>
      <c r="Y36" s="8"/>
    </row>
    <row r="37" customFormat="false" ht="15.75" hidden="false" customHeight="true" outlineLevel="0" collapsed="false">
      <c r="A37" s="8" t="n">
        <v>35</v>
      </c>
      <c r="B37" s="8"/>
      <c r="C37" s="8"/>
      <c r="D37" s="8"/>
      <c r="E37" s="8"/>
      <c r="F37" s="8"/>
      <c r="G37" s="8"/>
      <c r="H37" s="8"/>
      <c r="I37" s="8"/>
      <c r="J37" s="8"/>
      <c r="K37" s="8"/>
      <c r="L37" s="8"/>
      <c r="M37" s="8"/>
      <c r="N37" s="8"/>
      <c r="O37" s="8"/>
      <c r="P37" s="8"/>
      <c r="Q37" s="8"/>
      <c r="R37" s="8"/>
      <c r="S37" s="8"/>
      <c r="T37" s="8"/>
      <c r="U37" s="8"/>
      <c r="V37" s="8"/>
      <c r="W37" s="8"/>
      <c r="X37" s="8"/>
      <c r="Y37" s="8"/>
    </row>
    <row r="38" customFormat="false" ht="15.75" hidden="false" customHeight="true" outlineLevel="0" collapsed="false">
      <c r="A38" s="8" t="n">
        <v>36</v>
      </c>
      <c r="B38" s="8"/>
      <c r="C38" s="8"/>
      <c r="D38" s="8"/>
      <c r="E38" s="8"/>
      <c r="F38" s="8"/>
      <c r="G38" s="8"/>
      <c r="H38" s="8"/>
      <c r="I38" s="8"/>
      <c r="J38" s="8"/>
      <c r="K38" s="8"/>
      <c r="L38" s="8"/>
      <c r="M38" s="8"/>
      <c r="N38" s="8"/>
      <c r="O38" s="8"/>
      <c r="P38" s="8"/>
      <c r="Q38" s="8"/>
      <c r="R38" s="8"/>
      <c r="S38" s="8"/>
      <c r="T38" s="8"/>
      <c r="U38" s="8"/>
      <c r="V38" s="8"/>
      <c r="W38" s="8"/>
      <c r="X38" s="8"/>
      <c r="Y38" s="8"/>
    </row>
    <row r="39" customFormat="false" ht="15.75" hidden="false" customHeight="true" outlineLevel="0" collapsed="false">
      <c r="A39" s="8" t="n">
        <v>37</v>
      </c>
      <c r="B39" s="8"/>
      <c r="C39" s="8"/>
      <c r="D39" s="8"/>
      <c r="E39" s="8"/>
      <c r="F39" s="8"/>
      <c r="G39" s="8"/>
      <c r="H39" s="8"/>
      <c r="I39" s="8"/>
      <c r="J39" s="8"/>
      <c r="K39" s="8"/>
      <c r="L39" s="8"/>
      <c r="M39" s="8"/>
      <c r="N39" s="8"/>
      <c r="O39" s="8"/>
      <c r="P39" s="8"/>
      <c r="Q39" s="8"/>
      <c r="R39" s="8"/>
      <c r="S39" s="8"/>
      <c r="T39" s="8"/>
      <c r="U39" s="8"/>
      <c r="V39" s="8"/>
      <c r="W39" s="8"/>
      <c r="X39" s="8"/>
      <c r="Y39" s="8"/>
    </row>
    <row r="40" customFormat="false" ht="15.75" hidden="false" customHeight="true" outlineLevel="0" collapsed="false">
      <c r="A40" s="8" t="n">
        <v>38</v>
      </c>
      <c r="B40" s="8"/>
      <c r="C40" s="8"/>
      <c r="D40" s="8"/>
      <c r="E40" s="8"/>
      <c r="F40" s="8"/>
      <c r="G40" s="8"/>
      <c r="H40" s="8"/>
      <c r="I40" s="8"/>
      <c r="J40" s="8"/>
      <c r="K40" s="8"/>
      <c r="L40" s="8"/>
      <c r="M40" s="8"/>
      <c r="N40" s="8"/>
      <c r="O40" s="8"/>
      <c r="P40" s="8"/>
      <c r="Q40" s="8"/>
      <c r="R40" s="8"/>
      <c r="S40" s="8"/>
      <c r="T40" s="8"/>
      <c r="U40" s="8"/>
      <c r="V40" s="8"/>
      <c r="W40" s="8"/>
      <c r="X40" s="8"/>
      <c r="Y40" s="8"/>
    </row>
    <row r="41" customFormat="false" ht="15.75" hidden="false" customHeight="true" outlineLevel="0" collapsed="false">
      <c r="A41" s="8" t="n">
        <v>39</v>
      </c>
      <c r="B41" s="8"/>
      <c r="C41" s="8"/>
      <c r="D41" s="8"/>
      <c r="E41" s="8"/>
      <c r="F41" s="8"/>
      <c r="G41" s="8"/>
      <c r="H41" s="8"/>
      <c r="I41" s="8"/>
      <c r="J41" s="8"/>
      <c r="K41" s="8"/>
      <c r="L41" s="8"/>
      <c r="M41" s="8"/>
      <c r="N41" s="8"/>
      <c r="O41" s="8"/>
      <c r="P41" s="8"/>
      <c r="Q41" s="8"/>
      <c r="R41" s="8"/>
      <c r="S41" s="8"/>
      <c r="T41" s="8"/>
      <c r="U41" s="8"/>
      <c r="V41" s="8"/>
      <c r="W41" s="8"/>
      <c r="X41" s="8"/>
      <c r="Y41" s="8"/>
    </row>
    <row r="42" customFormat="false" ht="15.75" hidden="false" customHeight="true" outlineLevel="0" collapsed="false">
      <c r="A42" s="8" t="n">
        <v>40</v>
      </c>
      <c r="B42" s="8"/>
      <c r="C42" s="8"/>
      <c r="D42" s="8"/>
      <c r="E42" s="8"/>
      <c r="F42" s="8"/>
      <c r="G42" s="8"/>
      <c r="H42" s="8"/>
      <c r="I42" s="8"/>
      <c r="J42" s="8"/>
      <c r="K42" s="8"/>
      <c r="L42" s="8"/>
      <c r="M42" s="8"/>
      <c r="N42" s="8"/>
      <c r="O42" s="8"/>
      <c r="P42" s="8"/>
      <c r="Q42" s="8"/>
      <c r="R42" s="8"/>
      <c r="S42" s="8"/>
      <c r="T42" s="8"/>
      <c r="U42" s="8"/>
      <c r="V42" s="8"/>
      <c r="W42" s="8"/>
      <c r="X42" s="8"/>
      <c r="Y42" s="8"/>
    </row>
    <row r="43" customFormat="false" ht="15.75" hidden="false" customHeight="true" outlineLevel="0" collapsed="false">
      <c r="A43" s="8" t="n">
        <v>41</v>
      </c>
      <c r="B43" s="8"/>
      <c r="C43" s="8"/>
      <c r="D43" s="8"/>
      <c r="E43" s="8"/>
      <c r="F43" s="8"/>
      <c r="G43" s="8"/>
      <c r="H43" s="8"/>
      <c r="I43" s="8"/>
      <c r="J43" s="8"/>
      <c r="K43" s="8"/>
      <c r="L43" s="8"/>
      <c r="M43" s="8"/>
      <c r="N43" s="8"/>
      <c r="O43" s="8"/>
      <c r="P43" s="8"/>
      <c r="Q43" s="8"/>
      <c r="R43" s="8"/>
      <c r="S43" s="8"/>
      <c r="T43" s="8"/>
      <c r="U43" s="8"/>
      <c r="V43" s="8"/>
      <c r="W43" s="8"/>
      <c r="X43" s="8"/>
      <c r="Y43" s="8"/>
    </row>
    <row r="44" customFormat="false" ht="15.75" hidden="false" customHeight="true" outlineLevel="0" collapsed="false">
      <c r="A44" s="8" t="n">
        <v>42</v>
      </c>
      <c r="B44" s="8"/>
      <c r="C44" s="8"/>
      <c r="D44" s="8"/>
      <c r="E44" s="8"/>
      <c r="F44" s="8"/>
      <c r="G44" s="8"/>
      <c r="H44" s="8"/>
      <c r="I44" s="8"/>
      <c r="J44" s="8"/>
      <c r="K44" s="8"/>
      <c r="L44" s="8"/>
      <c r="M44" s="8"/>
      <c r="N44" s="8"/>
      <c r="O44" s="8"/>
      <c r="P44" s="8"/>
      <c r="Q44" s="8"/>
      <c r="R44" s="8"/>
      <c r="S44" s="8"/>
      <c r="T44" s="8"/>
      <c r="U44" s="8"/>
      <c r="V44" s="8"/>
      <c r="W44" s="8"/>
      <c r="X44" s="8"/>
      <c r="Y44" s="8"/>
    </row>
    <row r="45" customFormat="false" ht="15.75" hidden="false" customHeight="true" outlineLevel="0" collapsed="false">
      <c r="A45" s="8" t="n">
        <v>43</v>
      </c>
      <c r="B45" s="8"/>
      <c r="C45" s="8"/>
      <c r="D45" s="8"/>
      <c r="E45" s="8"/>
      <c r="F45" s="8"/>
      <c r="G45" s="8"/>
      <c r="H45" s="8"/>
      <c r="I45" s="8"/>
      <c r="J45" s="8"/>
      <c r="K45" s="8"/>
      <c r="L45" s="8"/>
      <c r="M45" s="8"/>
      <c r="N45" s="8"/>
      <c r="O45" s="8"/>
      <c r="P45" s="8"/>
      <c r="Q45" s="8"/>
      <c r="R45" s="8"/>
      <c r="S45" s="8"/>
      <c r="T45" s="8"/>
      <c r="U45" s="8"/>
      <c r="V45" s="8"/>
      <c r="W45" s="8"/>
      <c r="X45" s="8"/>
      <c r="Y45" s="8"/>
    </row>
    <row r="46" customFormat="false" ht="15.75" hidden="false" customHeight="true" outlineLevel="0" collapsed="false">
      <c r="A46" s="8" t="n">
        <v>44</v>
      </c>
      <c r="B46" s="8"/>
      <c r="C46" s="8"/>
      <c r="D46" s="8"/>
      <c r="E46" s="8"/>
      <c r="F46" s="8"/>
      <c r="G46" s="8"/>
      <c r="H46" s="8"/>
      <c r="I46" s="8"/>
      <c r="J46" s="8"/>
      <c r="K46" s="8"/>
      <c r="L46" s="8"/>
      <c r="M46" s="8"/>
      <c r="N46" s="8"/>
      <c r="O46" s="8"/>
      <c r="P46" s="8"/>
      <c r="Q46" s="8"/>
      <c r="R46" s="8"/>
      <c r="S46" s="8"/>
      <c r="T46" s="8"/>
      <c r="U46" s="8"/>
      <c r="V46" s="8"/>
      <c r="W46" s="8"/>
      <c r="X46" s="8"/>
      <c r="Y46" s="8"/>
    </row>
    <row r="47" customFormat="false" ht="15.75" hidden="false" customHeight="true" outlineLevel="0" collapsed="false">
      <c r="A47" s="8" t="n">
        <v>45</v>
      </c>
      <c r="B47" s="8"/>
      <c r="C47" s="8"/>
      <c r="D47" s="8"/>
      <c r="E47" s="8"/>
      <c r="F47" s="8"/>
      <c r="G47" s="8"/>
      <c r="H47" s="8"/>
      <c r="I47" s="8"/>
      <c r="J47" s="8"/>
      <c r="K47" s="8"/>
      <c r="L47" s="8"/>
      <c r="M47" s="8"/>
      <c r="N47" s="8"/>
      <c r="O47" s="8"/>
      <c r="P47" s="8"/>
      <c r="Q47" s="8"/>
      <c r="R47" s="8"/>
      <c r="S47" s="8"/>
      <c r="T47" s="8"/>
      <c r="U47" s="8"/>
      <c r="V47" s="8"/>
      <c r="W47" s="8"/>
      <c r="X47" s="8"/>
      <c r="Y47" s="8"/>
    </row>
    <row r="48" customFormat="false" ht="15.75" hidden="false" customHeight="true" outlineLevel="0" collapsed="false">
      <c r="A48" s="8" t="n">
        <v>46</v>
      </c>
      <c r="B48" s="8"/>
      <c r="C48" s="8"/>
      <c r="D48" s="8"/>
      <c r="E48" s="8"/>
      <c r="F48" s="8"/>
      <c r="G48" s="8"/>
      <c r="H48" s="8"/>
      <c r="I48" s="8"/>
      <c r="J48" s="8"/>
      <c r="K48" s="8"/>
      <c r="L48" s="8"/>
      <c r="M48" s="8"/>
      <c r="N48" s="8"/>
      <c r="O48" s="8"/>
      <c r="P48" s="8"/>
      <c r="Q48" s="8"/>
      <c r="R48" s="8"/>
      <c r="S48" s="8"/>
      <c r="T48" s="8"/>
      <c r="U48" s="8"/>
      <c r="V48" s="8"/>
      <c r="W48" s="8"/>
      <c r="X48" s="8"/>
      <c r="Y48" s="8"/>
    </row>
    <row r="49" customFormat="false" ht="15.75" hidden="false" customHeight="true" outlineLevel="0" collapsed="false">
      <c r="A49" s="8" t="n">
        <v>47</v>
      </c>
      <c r="B49" s="8"/>
      <c r="C49" s="8"/>
      <c r="D49" s="8"/>
      <c r="E49" s="8"/>
      <c r="F49" s="8"/>
      <c r="G49" s="8"/>
      <c r="H49" s="8"/>
      <c r="I49" s="8"/>
      <c r="J49" s="8"/>
      <c r="K49" s="8"/>
      <c r="L49" s="8"/>
      <c r="M49" s="8"/>
      <c r="N49" s="8"/>
      <c r="O49" s="8"/>
      <c r="P49" s="8"/>
      <c r="Q49" s="8"/>
      <c r="R49" s="8"/>
      <c r="S49" s="8"/>
      <c r="T49" s="8"/>
      <c r="U49" s="8"/>
      <c r="V49" s="8"/>
      <c r="W49" s="8"/>
      <c r="X49" s="8"/>
      <c r="Y49" s="8"/>
    </row>
    <row r="50" customFormat="false" ht="15.75" hidden="false" customHeight="true" outlineLevel="0" collapsed="false">
      <c r="A50" s="8" t="n">
        <v>48</v>
      </c>
      <c r="B50" s="8"/>
      <c r="C50" s="8"/>
      <c r="D50" s="8"/>
      <c r="E50" s="8"/>
      <c r="F50" s="8"/>
      <c r="G50" s="8"/>
      <c r="H50" s="8"/>
      <c r="I50" s="8"/>
      <c r="J50" s="8"/>
      <c r="K50" s="8"/>
      <c r="L50" s="8"/>
      <c r="M50" s="8"/>
      <c r="N50" s="8"/>
      <c r="O50" s="8"/>
      <c r="P50" s="8"/>
      <c r="Q50" s="8"/>
      <c r="R50" s="8"/>
      <c r="S50" s="8"/>
      <c r="T50" s="8"/>
      <c r="U50" s="8"/>
      <c r="V50" s="8"/>
      <c r="W50" s="8"/>
      <c r="X50" s="8"/>
      <c r="Y50" s="8"/>
    </row>
    <row r="51" customFormat="false" ht="15.75" hidden="false" customHeight="true" outlineLevel="0" collapsed="false">
      <c r="A51" s="8" t="n">
        <v>49</v>
      </c>
      <c r="B51" s="8"/>
      <c r="C51" s="8"/>
      <c r="D51" s="8"/>
      <c r="E51" s="8"/>
      <c r="F51" s="8"/>
      <c r="G51" s="8"/>
      <c r="H51" s="8"/>
      <c r="I51" s="8"/>
      <c r="J51" s="8"/>
      <c r="K51" s="8"/>
      <c r="L51" s="8"/>
      <c r="M51" s="8"/>
      <c r="N51" s="8"/>
      <c r="O51" s="8"/>
      <c r="P51" s="8"/>
      <c r="Q51" s="8"/>
      <c r="R51" s="8"/>
      <c r="S51" s="8"/>
      <c r="T51" s="8"/>
      <c r="U51" s="8"/>
      <c r="V51" s="8"/>
      <c r="W51" s="8"/>
      <c r="X51" s="8"/>
      <c r="Y51" s="8"/>
    </row>
    <row r="52" customFormat="false" ht="15.75" hidden="false" customHeight="true" outlineLevel="0" collapsed="false">
      <c r="A52" s="8" t="n">
        <v>50</v>
      </c>
      <c r="B52" s="8"/>
      <c r="C52" s="8"/>
      <c r="D52" s="8"/>
      <c r="E52" s="8"/>
      <c r="F52" s="8"/>
      <c r="G52" s="8"/>
      <c r="H52" s="8"/>
      <c r="I52" s="8"/>
      <c r="J52" s="8"/>
      <c r="K52" s="8"/>
      <c r="L52" s="8"/>
      <c r="M52" s="8"/>
      <c r="N52" s="8"/>
      <c r="O52" s="8"/>
      <c r="P52" s="8"/>
      <c r="Q52" s="8"/>
      <c r="R52" s="8"/>
      <c r="S52" s="8"/>
      <c r="T52" s="8"/>
      <c r="U52" s="8"/>
      <c r="V52" s="8"/>
      <c r="W52" s="8"/>
      <c r="X52" s="8"/>
      <c r="Y52" s="8"/>
    </row>
    <row r="53" customFormat="false" ht="15.75" hidden="false" customHeight="true" outlineLevel="0" collapsed="false">
      <c r="A53" s="8" t="n">
        <v>51</v>
      </c>
      <c r="B53" s="8"/>
      <c r="C53" s="8"/>
      <c r="D53" s="8"/>
      <c r="E53" s="8"/>
      <c r="F53" s="8"/>
      <c r="G53" s="8"/>
      <c r="H53" s="8"/>
      <c r="I53" s="8"/>
      <c r="J53" s="8"/>
      <c r="K53" s="8"/>
      <c r="L53" s="8"/>
      <c r="M53" s="8"/>
      <c r="N53" s="8"/>
      <c r="O53" s="8"/>
      <c r="P53" s="8"/>
      <c r="Q53" s="8"/>
      <c r="R53" s="8"/>
      <c r="S53" s="8"/>
      <c r="T53" s="8"/>
      <c r="U53" s="8"/>
      <c r="V53" s="8"/>
      <c r="W53" s="8"/>
      <c r="X53" s="8"/>
      <c r="Y53" s="8"/>
    </row>
    <row r="54" customFormat="false" ht="15.75" hidden="false" customHeight="true" outlineLevel="0" collapsed="false">
      <c r="A54" s="8" t="n">
        <v>52</v>
      </c>
      <c r="B54" s="8"/>
      <c r="C54" s="8"/>
      <c r="D54" s="8"/>
      <c r="E54" s="8"/>
      <c r="F54" s="8"/>
      <c r="G54" s="8"/>
      <c r="H54" s="8"/>
      <c r="I54" s="8"/>
      <c r="J54" s="8"/>
      <c r="K54" s="8"/>
      <c r="L54" s="8"/>
      <c r="M54" s="8"/>
      <c r="N54" s="8"/>
      <c r="O54" s="8"/>
      <c r="P54" s="8"/>
      <c r="Q54" s="8"/>
      <c r="R54" s="8"/>
      <c r="S54" s="8"/>
      <c r="T54" s="8"/>
      <c r="U54" s="8"/>
      <c r="V54" s="8"/>
      <c r="W54" s="8"/>
      <c r="X54" s="8"/>
      <c r="Y54" s="8"/>
    </row>
    <row r="55" customFormat="false" ht="15.75" hidden="false" customHeight="true" outlineLevel="0" collapsed="false">
      <c r="A55" s="8" t="n">
        <v>53</v>
      </c>
      <c r="B55" s="8"/>
      <c r="C55" s="8"/>
      <c r="D55" s="8"/>
      <c r="E55" s="8"/>
      <c r="F55" s="8"/>
      <c r="G55" s="8"/>
      <c r="H55" s="8"/>
      <c r="I55" s="8"/>
      <c r="J55" s="8"/>
      <c r="K55" s="8"/>
      <c r="L55" s="8"/>
      <c r="M55" s="8"/>
      <c r="N55" s="8"/>
      <c r="O55" s="8"/>
      <c r="P55" s="8"/>
      <c r="Q55" s="8"/>
      <c r="R55" s="8"/>
      <c r="S55" s="8"/>
      <c r="T55" s="8"/>
      <c r="U55" s="8"/>
      <c r="V55" s="8"/>
      <c r="W55" s="8"/>
      <c r="X55" s="8"/>
      <c r="Y55" s="8"/>
    </row>
    <row r="56" customFormat="false" ht="15.75" hidden="false" customHeight="true" outlineLevel="0" collapsed="false">
      <c r="A56" s="8" t="n">
        <v>54</v>
      </c>
      <c r="B56" s="8"/>
      <c r="C56" s="8"/>
      <c r="D56" s="8"/>
      <c r="E56" s="8"/>
      <c r="F56" s="8"/>
      <c r="G56" s="8"/>
      <c r="H56" s="8"/>
      <c r="I56" s="8"/>
      <c r="J56" s="8"/>
      <c r="K56" s="8"/>
      <c r="L56" s="8"/>
      <c r="M56" s="8"/>
      <c r="N56" s="8"/>
      <c r="O56" s="8"/>
      <c r="P56" s="8"/>
      <c r="Q56" s="8"/>
      <c r="R56" s="8"/>
      <c r="S56" s="8"/>
      <c r="T56" s="8"/>
      <c r="U56" s="8"/>
      <c r="V56" s="8"/>
      <c r="W56" s="8"/>
      <c r="X56" s="8"/>
      <c r="Y56" s="8"/>
    </row>
    <row r="57" customFormat="false" ht="15.75" hidden="false" customHeight="true" outlineLevel="0" collapsed="false">
      <c r="A57" s="8" t="n">
        <v>55</v>
      </c>
      <c r="B57" s="8"/>
      <c r="C57" s="8"/>
      <c r="D57" s="8"/>
      <c r="E57" s="8"/>
      <c r="F57" s="8"/>
      <c r="G57" s="8"/>
      <c r="H57" s="8"/>
      <c r="I57" s="8"/>
      <c r="J57" s="8"/>
      <c r="K57" s="8"/>
      <c r="L57" s="8"/>
      <c r="M57" s="8"/>
      <c r="N57" s="8"/>
      <c r="O57" s="8"/>
      <c r="P57" s="8"/>
      <c r="Q57" s="8"/>
      <c r="R57" s="8"/>
      <c r="S57" s="8"/>
      <c r="T57" s="8"/>
      <c r="U57" s="8"/>
      <c r="V57" s="8"/>
      <c r="W57" s="8"/>
      <c r="X57" s="8"/>
      <c r="Y57" s="8"/>
    </row>
    <row r="58" customFormat="false" ht="15.75" hidden="false" customHeight="true" outlineLevel="0" collapsed="false">
      <c r="A58" s="8" t="n">
        <v>56</v>
      </c>
      <c r="B58" s="8"/>
      <c r="C58" s="8"/>
      <c r="D58" s="8"/>
      <c r="E58" s="8"/>
      <c r="F58" s="8"/>
      <c r="G58" s="8"/>
      <c r="H58" s="8"/>
      <c r="I58" s="8"/>
      <c r="J58" s="8"/>
      <c r="K58" s="8"/>
      <c r="L58" s="8"/>
      <c r="M58" s="8"/>
      <c r="N58" s="8"/>
      <c r="O58" s="8"/>
      <c r="P58" s="8"/>
      <c r="Q58" s="8"/>
      <c r="R58" s="8"/>
      <c r="S58" s="8"/>
      <c r="T58" s="8"/>
      <c r="U58" s="8"/>
      <c r="V58" s="8"/>
      <c r="W58" s="8"/>
      <c r="X58" s="8"/>
      <c r="Y58" s="8"/>
    </row>
    <row r="59" customFormat="false" ht="15.75" hidden="false" customHeight="true" outlineLevel="0" collapsed="false">
      <c r="A59" s="8" t="n">
        <v>57</v>
      </c>
      <c r="B59" s="8"/>
      <c r="C59" s="8"/>
      <c r="D59" s="8"/>
      <c r="E59" s="8"/>
      <c r="F59" s="8"/>
      <c r="G59" s="8"/>
      <c r="H59" s="8"/>
      <c r="I59" s="8"/>
      <c r="J59" s="8"/>
      <c r="K59" s="8"/>
      <c r="L59" s="8"/>
      <c r="M59" s="8"/>
      <c r="N59" s="8"/>
      <c r="O59" s="8"/>
      <c r="P59" s="8"/>
      <c r="Q59" s="8"/>
      <c r="R59" s="8"/>
      <c r="S59" s="8"/>
      <c r="T59" s="8"/>
      <c r="U59" s="8"/>
      <c r="V59" s="8"/>
      <c r="W59" s="8"/>
      <c r="X59" s="8"/>
      <c r="Y59" s="8"/>
    </row>
    <row r="60" customFormat="false" ht="15.75" hidden="false" customHeight="true" outlineLevel="0" collapsed="false">
      <c r="A60" s="8" t="n">
        <v>58</v>
      </c>
      <c r="B60" s="8"/>
      <c r="C60" s="8"/>
      <c r="D60" s="8"/>
      <c r="E60" s="8"/>
      <c r="F60" s="8"/>
      <c r="G60" s="8"/>
      <c r="H60" s="8"/>
      <c r="I60" s="8"/>
      <c r="J60" s="8"/>
      <c r="K60" s="8"/>
      <c r="L60" s="8"/>
      <c r="M60" s="8"/>
      <c r="N60" s="8"/>
      <c r="O60" s="8"/>
      <c r="P60" s="8"/>
      <c r="Q60" s="8"/>
      <c r="R60" s="8"/>
      <c r="S60" s="8"/>
      <c r="T60" s="8"/>
      <c r="U60" s="8"/>
      <c r="V60" s="8"/>
      <c r="W60" s="8"/>
      <c r="X60" s="8"/>
      <c r="Y60" s="8"/>
    </row>
    <row r="61" customFormat="false" ht="15.75" hidden="false" customHeight="true" outlineLevel="0" collapsed="false">
      <c r="A61" s="8" t="n">
        <v>59</v>
      </c>
      <c r="B61" s="8"/>
      <c r="C61" s="8"/>
      <c r="D61" s="8"/>
      <c r="E61" s="8"/>
      <c r="F61" s="8"/>
      <c r="G61" s="8"/>
      <c r="H61" s="8"/>
      <c r="I61" s="8"/>
      <c r="J61" s="8"/>
      <c r="K61" s="8"/>
      <c r="L61" s="8"/>
      <c r="M61" s="8"/>
      <c r="N61" s="8"/>
      <c r="O61" s="8"/>
      <c r="P61" s="8"/>
      <c r="Q61" s="8"/>
      <c r="R61" s="8"/>
      <c r="S61" s="8"/>
      <c r="T61" s="8"/>
      <c r="U61" s="8"/>
      <c r="V61" s="8"/>
      <c r="W61" s="8"/>
      <c r="X61" s="8"/>
      <c r="Y61" s="8"/>
    </row>
    <row r="62" customFormat="false" ht="15.75" hidden="false" customHeight="true" outlineLevel="0" collapsed="false">
      <c r="A62" s="8" t="n">
        <v>60</v>
      </c>
      <c r="B62" s="8"/>
      <c r="C62" s="8"/>
      <c r="D62" s="8"/>
      <c r="E62" s="8"/>
      <c r="F62" s="8"/>
      <c r="G62" s="8"/>
      <c r="H62" s="8"/>
      <c r="I62" s="8"/>
      <c r="J62" s="8"/>
      <c r="K62" s="8"/>
      <c r="L62" s="8"/>
      <c r="M62" s="8"/>
      <c r="N62" s="8"/>
      <c r="O62" s="8"/>
      <c r="P62" s="8"/>
      <c r="Q62" s="8"/>
      <c r="R62" s="8"/>
      <c r="S62" s="8"/>
      <c r="T62" s="8"/>
      <c r="U62" s="8"/>
      <c r="V62" s="8"/>
      <c r="W62" s="8"/>
      <c r="X62" s="8"/>
      <c r="Y62" s="8"/>
    </row>
    <row r="63" customFormat="false" ht="15.75" hidden="false" customHeight="true" outlineLevel="0" collapsed="false">
      <c r="A63" s="8" t="n">
        <v>61</v>
      </c>
      <c r="B63" s="8"/>
      <c r="C63" s="8"/>
      <c r="D63" s="8"/>
      <c r="E63" s="8"/>
      <c r="F63" s="8"/>
      <c r="G63" s="8"/>
      <c r="H63" s="8"/>
      <c r="I63" s="8"/>
      <c r="J63" s="8"/>
      <c r="K63" s="8"/>
      <c r="L63" s="8"/>
      <c r="M63" s="8"/>
      <c r="N63" s="8"/>
      <c r="O63" s="8"/>
      <c r="P63" s="8"/>
      <c r="Q63" s="8"/>
      <c r="R63" s="8"/>
      <c r="S63" s="8"/>
      <c r="T63" s="8"/>
      <c r="U63" s="8"/>
      <c r="V63" s="8"/>
      <c r="W63" s="8"/>
      <c r="X63" s="8"/>
      <c r="Y63" s="8"/>
    </row>
    <row r="64" customFormat="false" ht="15.75" hidden="false" customHeight="true" outlineLevel="0" collapsed="false">
      <c r="A64" s="8" t="n">
        <v>62</v>
      </c>
      <c r="B64" s="8"/>
      <c r="C64" s="8"/>
      <c r="D64" s="8"/>
      <c r="E64" s="8"/>
      <c r="F64" s="8"/>
      <c r="G64" s="8"/>
      <c r="H64" s="8"/>
      <c r="I64" s="8"/>
      <c r="J64" s="8"/>
      <c r="K64" s="8"/>
      <c r="L64" s="8"/>
      <c r="M64" s="8"/>
      <c r="N64" s="8"/>
      <c r="O64" s="8"/>
      <c r="P64" s="8"/>
      <c r="Q64" s="8"/>
      <c r="R64" s="8"/>
      <c r="S64" s="8"/>
      <c r="T64" s="8"/>
      <c r="U64" s="8"/>
      <c r="V64" s="8"/>
      <c r="W64" s="8"/>
      <c r="X64" s="8"/>
      <c r="Y64" s="8"/>
    </row>
    <row r="65" customFormat="false" ht="15.75" hidden="false" customHeight="true" outlineLevel="0" collapsed="false">
      <c r="A65" s="8" t="n">
        <v>63</v>
      </c>
      <c r="B65" s="8"/>
      <c r="C65" s="8"/>
      <c r="D65" s="8"/>
      <c r="E65" s="8"/>
      <c r="F65" s="8"/>
      <c r="G65" s="8"/>
      <c r="H65" s="8"/>
      <c r="I65" s="8"/>
      <c r="J65" s="8"/>
      <c r="K65" s="8"/>
      <c r="L65" s="8"/>
      <c r="M65" s="8"/>
      <c r="N65" s="8"/>
      <c r="O65" s="8"/>
      <c r="P65" s="8"/>
      <c r="Q65" s="8"/>
      <c r="R65" s="8"/>
      <c r="S65" s="8"/>
      <c r="T65" s="8"/>
      <c r="U65" s="8"/>
      <c r="V65" s="8"/>
      <c r="W65" s="8"/>
      <c r="X65" s="8"/>
      <c r="Y65" s="8"/>
    </row>
    <row r="66" customFormat="false" ht="15.75" hidden="false" customHeight="true" outlineLevel="0" collapsed="false">
      <c r="A66" s="8" t="n">
        <v>64</v>
      </c>
      <c r="B66" s="8"/>
      <c r="C66" s="8"/>
      <c r="D66" s="8"/>
      <c r="E66" s="8"/>
      <c r="F66" s="8"/>
      <c r="G66" s="8"/>
      <c r="H66" s="8"/>
      <c r="I66" s="8"/>
      <c r="J66" s="8"/>
      <c r="K66" s="8"/>
      <c r="L66" s="8"/>
      <c r="M66" s="8"/>
      <c r="N66" s="8"/>
      <c r="O66" s="8"/>
      <c r="P66" s="8"/>
      <c r="Q66" s="8"/>
      <c r="R66" s="8"/>
      <c r="S66" s="8"/>
      <c r="T66" s="8"/>
      <c r="U66" s="8"/>
      <c r="V66" s="8"/>
      <c r="W66" s="8"/>
      <c r="X66" s="8"/>
      <c r="Y66" s="8"/>
    </row>
    <row r="67" customFormat="false" ht="15.75" hidden="false" customHeight="true" outlineLevel="0" collapsed="false">
      <c r="A67" s="8" t="n">
        <v>65</v>
      </c>
      <c r="B67" s="8"/>
      <c r="C67" s="8"/>
      <c r="D67" s="8"/>
      <c r="E67" s="8"/>
      <c r="F67" s="8"/>
      <c r="G67" s="8"/>
      <c r="H67" s="8"/>
      <c r="I67" s="8"/>
      <c r="J67" s="8"/>
      <c r="K67" s="8"/>
      <c r="L67" s="8"/>
      <c r="M67" s="8"/>
      <c r="N67" s="8"/>
      <c r="O67" s="8"/>
      <c r="P67" s="8"/>
      <c r="Q67" s="8"/>
      <c r="R67" s="8"/>
      <c r="S67" s="8"/>
      <c r="T67" s="8"/>
      <c r="U67" s="8"/>
      <c r="V67" s="8"/>
      <c r="W67" s="8"/>
      <c r="X67" s="8"/>
      <c r="Y67" s="8"/>
    </row>
    <row r="68" customFormat="false" ht="15.75" hidden="false" customHeight="true" outlineLevel="0" collapsed="false">
      <c r="A68" s="8" t="n">
        <v>66</v>
      </c>
      <c r="B68" s="8"/>
      <c r="C68" s="8"/>
      <c r="D68" s="8"/>
      <c r="E68" s="8"/>
      <c r="F68" s="8"/>
      <c r="G68" s="8"/>
      <c r="H68" s="8"/>
      <c r="I68" s="8"/>
      <c r="J68" s="8"/>
      <c r="K68" s="8"/>
      <c r="L68" s="8"/>
      <c r="M68" s="8"/>
      <c r="N68" s="8"/>
      <c r="O68" s="8"/>
      <c r="P68" s="8"/>
      <c r="Q68" s="8"/>
      <c r="R68" s="8"/>
      <c r="S68" s="8"/>
      <c r="T68" s="8"/>
      <c r="U68" s="8"/>
      <c r="V68" s="8"/>
      <c r="W68" s="8"/>
      <c r="X68" s="8"/>
      <c r="Y68" s="8"/>
    </row>
    <row r="69" customFormat="false" ht="15.75" hidden="false" customHeight="true" outlineLevel="0" collapsed="false">
      <c r="A69" s="8" t="n">
        <v>67</v>
      </c>
      <c r="B69" s="8"/>
      <c r="C69" s="8"/>
      <c r="D69" s="8"/>
      <c r="E69" s="8"/>
      <c r="F69" s="8"/>
      <c r="G69" s="8"/>
      <c r="H69" s="8"/>
      <c r="I69" s="8"/>
      <c r="J69" s="8"/>
      <c r="K69" s="8"/>
      <c r="L69" s="8"/>
      <c r="M69" s="8"/>
      <c r="N69" s="8"/>
      <c r="O69" s="8"/>
      <c r="P69" s="8"/>
      <c r="Q69" s="8"/>
      <c r="R69" s="8"/>
      <c r="S69" s="8"/>
      <c r="T69" s="8"/>
      <c r="U69" s="8"/>
      <c r="V69" s="8"/>
      <c r="W69" s="8"/>
      <c r="X69" s="8"/>
      <c r="Y69" s="8"/>
    </row>
    <row r="70" customFormat="false" ht="15.75" hidden="false" customHeight="true" outlineLevel="0" collapsed="false">
      <c r="A70" s="8" t="n">
        <v>68</v>
      </c>
      <c r="B70" s="8"/>
      <c r="C70" s="8"/>
      <c r="D70" s="8"/>
      <c r="E70" s="8"/>
      <c r="F70" s="8"/>
      <c r="G70" s="8"/>
      <c r="H70" s="8"/>
      <c r="I70" s="8"/>
      <c r="J70" s="8"/>
      <c r="K70" s="8"/>
      <c r="L70" s="8"/>
      <c r="M70" s="8"/>
      <c r="N70" s="8"/>
      <c r="O70" s="8"/>
      <c r="P70" s="8"/>
      <c r="Q70" s="8"/>
      <c r="R70" s="8"/>
      <c r="S70" s="8"/>
      <c r="T70" s="8"/>
      <c r="U70" s="8"/>
      <c r="V70" s="8"/>
      <c r="W70" s="8"/>
      <c r="X70" s="8"/>
      <c r="Y70" s="8"/>
    </row>
    <row r="71" customFormat="false" ht="15.75" hidden="false" customHeight="true" outlineLevel="0" collapsed="false">
      <c r="A71" s="8" t="n">
        <v>69</v>
      </c>
      <c r="B71" s="8"/>
      <c r="C71" s="8"/>
      <c r="D71" s="8"/>
      <c r="E71" s="8"/>
      <c r="F71" s="8"/>
      <c r="G71" s="8"/>
      <c r="H71" s="8"/>
      <c r="I71" s="8"/>
      <c r="J71" s="8"/>
      <c r="K71" s="8"/>
      <c r="L71" s="8"/>
      <c r="M71" s="8"/>
      <c r="N71" s="8"/>
      <c r="O71" s="8"/>
      <c r="P71" s="8"/>
      <c r="Q71" s="8"/>
      <c r="R71" s="8"/>
      <c r="S71" s="8"/>
      <c r="T71" s="8"/>
      <c r="U71" s="8"/>
      <c r="V71" s="8"/>
      <c r="W71" s="8"/>
      <c r="X71" s="8"/>
      <c r="Y71" s="8"/>
    </row>
    <row r="72" customFormat="false" ht="15.75" hidden="false" customHeight="true" outlineLevel="0" collapsed="false">
      <c r="A72" s="8" t="n">
        <v>70</v>
      </c>
      <c r="B72" s="8"/>
      <c r="C72" s="8"/>
      <c r="D72" s="8"/>
      <c r="E72" s="8"/>
      <c r="F72" s="8"/>
      <c r="G72" s="8"/>
      <c r="H72" s="8"/>
      <c r="I72" s="8"/>
      <c r="J72" s="8"/>
      <c r="K72" s="8"/>
      <c r="L72" s="8"/>
      <c r="M72" s="8"/>
      <c r="N72" s="8"/>
      <c r="O72" s="8"/>
      <c r="P72" s="8"/>
      <c r="Q72" s="8"/>
      <c r="R72" s="8"/>
      <c r="S72" s="8"/>
      <c r="T72" s="8"/>
      <c r="U72" s="8"/>
      <c r="V72" s="8"/>
      <c r="W72" s="8"/>
      <c r="X72" s="8"/>
      <c r="Y72" s="8"/>
    </row>
    <row r="73" customFormat="false" ht="15.75" hidden="false" customHeight="true" outlineLevel="0" collapsed="false">
      <c r="A73" s="8" t="n">
        <v>71</v>
      </c>
      <c r="B73" s="8"/>
      <c r="C73" s="8"/>
      <c r="D73" s="8"/>
      <c r="E73" s="8"/>
      <c r="F73" s="8"/>
      <c r="G73" s="8"/>
      <c r="H73" s="8"/>
      <c r="I73" s="8"/>
      <c r="J73" s="8"/>
      <c r="K73" s="8"/>
      <c r="L73" s="8"/>
      <c r="M73" s="8"/>
      <c r="N73" s="8"/>
      <c r="O73" s="8"/>
      <c r="P73" s="8"/>
      <c r="Q73" s="8"/>
      <c r="R73" s="8"/>
      <c r="S73" s="8"/>
      <c r="T73" s="8"/>
      <c r="U73" s="8"/>
      <c r="V73" s="8"/>
      <c r="W73" s="8"/>
      <c r="X73" s="8"/>
      <c r="Y73" s="8"/>
    </row>
    <row r="74" customFormat="false" ht="15.75" hidden="false" customHeight="true" outlineLevel="0" collapsed="false">
      <c r="A74" s="8" t="n">
        <v>72</v>
      </c>
      <c r="B74" s="8"/>
      <c r="C74" s="8"/>
      <c r="D74" s="8"/>
      <c r="E74" s="8"/>
      <c r="F74" s="8"/>
      <c r="G74" s="8"/>
      <c r="H74" s="8"/>
      <c r="I74" s="8"/>
      <c r="J74" s="8"/>
      <c r="K74" s="8"/>
      <c r="L74" s="8"/>
      <c r="M74" s="8"/>
      <c r="N74" s="8"/>
      <c r="O74" s="8"/>
      <c r="P74" s="8"/>
      <c r="Q74" s="8"/>
      <c r="R74" s="8"/>
      <c r="S74" s="8"/>
      <c r="T74" s="8"/>
      <c r="U74" s="8"/>
      <c r="V74" s="8"/>
      <c r="W74" s="8"/>
      <c r="X74" s="8"/>
      <c r="Y74" s="8"/>
    </row>
    <row r="75" customFormat="false" ht="15.75" hidden="false" customHeight="true" outlineLevel="0" collapsed="false">
      <c r="A75" s="8" t="n">
        <v>73</v>
      </c>
      <c r="B75" s="8"/>
      <c r="C75" s="8"/>
      <c r="D75" s="8"/>
      <c r="E75" s="8"/>
      <c r="F75" s="8"/>
      <c r="G75" s="8"/>
      <c r="H75" s="8"/>
      <c r="I75" s="8"/>
      <c r="J75" s="8"/>
      <c r="K75" s="8"/>
      <c r="L75" s="8"/>
      <c r="M75" s="8"/>
      <c r="N75" s="8"/>
      <c r="O75" s="8"/>
      <c r="P75" s="8"/>
      <c r="Q75" s="8"/>
      <c r="R75" s="8"/>
      <c r="S75" s="8"/>
      <c r="T75" s="8"/>
      <c r="U75" s="8"/>
      <c r="V75" s="8"/>
      <c r="W75" s="8"/>
      <c r="X75" s="8"/>
      <c r="Y75" s="8"/>
    </row>
    <row r="76" customFormat="false" ht="15.75" hidden="false" customHeight="true" outlineLevel="0" collapsed="false">
      <c r="A76" s="8" t="n">
        <v>74</v>
      </c>
      <c r="B76" s="8"/>
      <c r="C76" s="8"/>
      <c r="D76" s="8"/>
      <c r="E76" s="8"/>
      <c r="F76" s="8"/>
      <c r="G76" s="8"/>
      <c r="H76" s="8"/>
      <c r="I76" s="8"/>
      <c r="J76" s="8"/>
      <c r="K76" s="8"/>
      <c r="L76" s="8"/>
      <c r="M76" s="8"/>
      <c r="N76" s="8"/>
      <c r="O76" s="8"/>
      <c r="P76" s="8"/>
      <c r="Q76" s="8"/>
      <c r="R76" s="8"/>
      <c r="S76" s="8"/>
      <c r="T76" s="8"/>
      <c r="U76" s="8"/>
      <c r="V76" s="8"/>
      <c r="W76" s="8"/>
      <c r="X76" s="8"/>
      <c r="Y76" s="8"/>
    </row>
    <row r="77" customFormat="false" ht="15.75" hidden="false" customHeight="true" outlineLevel="0" collapsed="false">
      <c r="A77" s="8" t="n">
        <v>75</v>
      </c>
      <c r="B77" s="8"/>
      <c r="C77" s="8"/>
      <c r="D77" s="8"/>
      <c r="E77" s="8"/>
      <c r="F77" s="8"/>
      <c r="G77" s="8"/>
      <c r="H77" s="8"/>
      <c r="I77" s="8"/>
      <c r="J77" s="8"/>
      <c r="K77" s="8"/>
      <c r="L77" s="8"/>
      <c r="M77" s="8"/>
      <c r="N77" s="8"/>
      <c r="O77" s="8"/>
      <c r="P77" s="8"/>
      <c r="Q77" s="8"/>
      <c r="R77" s="8"/>
      <c r="S77" s="8"/>
      <c r="T77" s="8"/>
      <c r="U77" s="8"/>
      <c r="V77" s="8"/>
      <c r="W77" s="8"/>
      <c r="X77" s="8"/>
      <c r="Y77" s="8"/>
    </row>
    <row r="78" customFormat="false" ht="15.75" hidden="false" customHeight="true" outlineLevel="0" collapsed="false">
      <c r="A78" s="8" t="n">
        <v>76</v>
      </c>
      <c r="B78" s="8"/>
      <c r="C78" s="8"/>
      <c r="D78" s="8"/>
      <c r="E78" s="8"/>
      <c r="F78" s="8"/>
      <c r="G78" s="8"/>
      <c r="H78" s="8"/>
      <c r="I78" s="8"/>
      <c r="J78" s="8"/>
      <c r="K78" s="8"/>
      <c r="L78" s="8"/>
      <c r="M78" s="8"/>
      <c r="N78" s="8"/>
      <c r="O78" s="8"/>
      <c r="P78" s="8"/>
      <c r="Q78" s="8"/>
      <c r="R78" s="8"/>
      <c r="S78" s="8"/>
      <c r="T78" s="8"/>
      <c r="U78" s="8"/>
      <c r="V78" s="8"/>
      <c r="W78" s="8"/>
      <c r="X78" s="8"/>
      <c r="Y78" s="8"/>
    </row>
    <row r="79" customFormat="false" ht="15.75" hidden="false" customHeight="true" outlineLevel="0" collapsed="false">
      <c r="A79" s="8" t="n">
        <v>77</v>
      </c>
      <c r="B79" s="8"/>
      <c r="C79" s="8"/>
      <c r="D79" s="8"/>
      <c r="E79" s="8"/>
      <c r="F79" s="8"/>
      <c r="G79" s="8"/>
      <c r="H79" s="8"/>
      <c r="I79" s="8"/>
      <c r="J79" s="8"/>
      <c r="K79" s="8"/>
      <c r="L79" s="8"/>
      <c r="M79" s="8"/>
      <c r="N79" s="8"/>
      <c r="O79" s="8"/>
      <c r="P79" s="8"/>
      <c r="Q79" s="8"/>
      <c r="R79" s="8"/>
      <c r="S79" s="8"/>
      <c r="T79" s="8"/>
      <c r="U79" s="8"/>
      <c r="V79" s="8"/>
      <c r="W79" s="8"/>
      <c r="X79" s="8"/>
      <c r="Y79" s="8"/>
    </row>
    <row r="80" customFormat="false" ht="15.75" hidden="false" customHeight="true" outlineLevel="0" collapsed="false">
      <c r="A80" s="8" t="n">
        <v>78</v>
      </c>
      <c r="B80" s="8"/>
      <c r="C80" s="8"/>
      <c r="D80" s="8"/>
      <c r="E80" s="8"/>
      <c r="F80" s="8"/>
      <c r="G80" s="8"/>
      <c r="H80" s="8"/>
      <c r="I80" s="8"/>
      <c r="J80" s="8"/>
      <c r="K80" s="8"/>
      <c r="L80" s="8"/>
      <c r="M80" s="8"/>
      <c r="N80" s="8"/>
      <c r="O80" s="8"/>
      <c r="P80" s="8"/>
      <c r="Q80" s="8"/>
      <c r="R80" s="8"/>
      <c r="S80" s="8"/>
      <c r="T80" s="8"/>
      <c r="U80" s="8"/>
      <c r="V80" s="8"/>
      <c r="W80" s="8"/>
      <c r="X80" s="8"/>
      <c r="Y80" s="8"/>
    </row>
  </sheetData>
  <dataValidations count="5">
    <dataValidation allowBlank="true" errorStyle="stop" operator="between" showDropDown="false" showErrorMessage="false" showInputMessage="false" sqref="B2:B80" type="list">
      <formula1>Lists!$A$1:$A$12</formula1>
      <formula2>0</formula2>
    </dataValidation>
    <dataValidation allowBlank="true" errorStyle="stop" operator="between" showDropDown="false" showErrorMessage="false" showInputMessage="false" sqref="C2:C80" type="list">
      <formula1>Lists!$B$1:$B$7</formula1>
      <formula2>0</formula2>
    </dataValidation>
    <dataValidation allowBlank="true" errorStyle="stop" operator="between" showDropDown="false" showErrorMessage="false" showInputMessage="false" sqref="D2:D80" type="list">
      <formula1>Lists!$C$1:$C$4</formula1>
      <formula2>0</formula2>
    </dataValidation>
    <dataValidation allowBlank="true" errorStyle="stop" operator="between" showDropDown="false" showErrorMessage="false" showInputMessage="false" sqref="E2:E80" type="list">
      <formula1>Lists!$D$1:$D$3</formula1>
      <formula2>0</formula2>
    </dataValidation>
    <dataValidation allowBlank="true" errorStyle="stop" operator="between" showDropDown="false" showErrorMessage="false" showInputMessage="false" sqref="F2:F80" type="list">
      <formula1>Lists!$E$1:$E$3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68</v>
      </c>
      <c r="B1" s="0" t="s">
        <v>45</v>
      </c>
      <c r="C1" s="0" t="s">
        <v>69</v>
      </c>
      <c r="D1" s="0" t="s">
        <v>70</v>
      </c>
      <c r="E1" s="0" t="s">
        <v>48</v>
      </c>
    </row>
    <row r="2" customFormat="false" ht="15" hidden="false" customHeight="false" outlineLevel="0" collapsed="false">
      <c r="A2" s="0" t="s">
        <v>71</v>
      </c>
      <c r="B2" s="0" t="s">
        <v>72</v>
      </c>
      <c r="C2" s="0" t="s">
        <v>73</v>
      </c>
      <c r="D2" s="0" t="s">
        <v>47</v>
      </c>
      <c r="E2" s="0" t="s">
        <v>74</v>
      </c>
    </row>
    <row r="3" customFormat="false" ht="15" hidden="false" customHeight="false" outlineLevel="0" collapsed="false">
      <c r="A3" s="0" t="s">
        <v>75</v>
      </c>
      <c r="B3" s="0" t="s">
        <v>76</v>
      </c>
      <c r="C3" s="0" t="s">
        <v>46</v>
      </c>
      <c r="D3" s="0" t="s">
        <v>77</v>
      </c>
      <c r="E3" s="0" t="s">
        <v>78</v>
      </c>
    </row>
    <row r="4" customFormat="false" ht="15" hidden="false" customHeight="false" outlineLevel="0" collapsed="false">
      <c r="A4" s="0" t="s">
        <v>44</v>
      </c>
      <c r="B4" s="0" t="s">
        <v>79</v>
      </c>
      <c r="C4" s="0" t="s">
        <v>80</v>
      </c>
    </row>
    <row r="5" customFormat="false" ht="15" hidden="false" customHeight="false" outlineLevel="0" collapsed="false">
      <c r="A5" s="0" t="s">
        <v>81</v>
      </c>
      <c r="B5" s="0" t="s">
        <v>82</v>
      </c>
    </row>
    <row r="6" customFormat="false" ht="15" hidden="false" customHeight="false" outlineLevel="0" collapsed="false">
      <c r="A6" s="0" t="s">
        <v>83</v>
      </c>
      <c r="B6" s="0" t="s">
        <v>84</v>
      </c>
    </row>
    <row r="7" customFormat="false" ht="15" hidden="false" customHeight="false" outlineLevel="0" collapsed="false">
      <c r="A7" s="0" t="s">
        <v>85</v>
      </c>
      <c r="B7" s="0" t="s">
        <v>86</v>
      </c>
    </row>
    <row r="8" customFormat="false" ht="15" hidden="false" customHeight="false" outlineLevel="0" collapsed="false">
      <c r="A8" s="0" t="s">
        <v>87</v>
      </c>
    </row>
    <row r="9" customFormat="false" ht="15" hidden="false" customHeight="false" outlineLevel="0" collapsed="false">
      <c r="A9" s="0" t="s">
        <v>88</v>
      </c>
    </row>
    <row r="10" customFormat="false" ht="15" hidden="false" customHeight="false" outlineLevel="0" collapsed="false">
      <c r="A10" s="0" t="s">
        <v>89</v>
      </c>
    </row>
    <row r="11" customFormat="false" ht="15" hidden="false" customHeight="false" outlineLevel="0" collapsed="false">
      <c r="A11" s="0" t="s">
        <v>90</v>
      </c>
    </row>
    <row r="12" customFormat="false" ht="15" hidden="false" customHeight="false" outlineLevel="0" collapsed="false">
      <c r="A12" s="0" t="s">
        <v>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1"/>
    <col collapsed="false" customWidth="true" hidden="false" outlineLevel="0" max="3" min="3" style="0" width="18"/>
    <col collapsed="false" customWidth="true" hidden="false" outlineLevel="0" max="4" min="4" style="0" width="11"/>
    <col collapsed="false" customWidth="true" hidden="false" outlineLevel="0" max="6" min="5" style="0" width="12"/>
    <col collapsed="false" customWidth="true" hidden="false" outlineLevel="0" max="7" min="7" style="0" width="14"/>
    <col collapsed="false" customWidth="true" hidden="false" outlineLevel="0" max="8" min="8" style="0" width="15"/>
    <col collapsed="false" customWidth="true" hidden="false" outlineLevel="0" max="9" min="9" style="0" width="20"/>
  </cols>
  <sheetData>
    <row r="1" customFormat="false" ht="30" hidden="false" customHeight="true" outlineLevel="0" collapsed="false">
      <c r="A1" s="6" t="s">
        <v>19</v>
      </c>
      <c r="B1" s="6" t="s">
        <v>92</v>
      </c>
      <c r="C1" s="6" t="s">
        <v>93</v>
      </c>
      <c r="D1" s="6" t="s">
        <v>94</v>
      </c>
      <c r="E1" s="6" t="s">
        <v>95</v>
      </c>
      <c r="F1" s="6" t="s">
        <v>96</v>
      </c>
      <c r="G1" s="6" t="s">
        <v>97</v>
      </c>
      <c r="H1" s="6" t="s">
        <v>98</v>
      </c>
      <c r="I1" s="6" t="s">
        <v>99</v>
      </c>
    </row>
    <row r="2" customFormat="false" ht="15" hidden="false" customHeight="false" outlineLevel="0" collapsed="false">
      <c r="A2" s="8" t="s">
        <v>68</v>
      </c>
      <c r="B2" s="9" t="n">
        <v>4</v>
      </c>
      <c r="C2" s="9" t="n">
        <v>4</v>
      </c>
      <c r="D2" s="9" t="n">
        <v>5</v>
      </c>
      <c r="E2" s="10" t="n">
        <f aca="false">COUNTIFS('Master Extraction Sheet'!$B$2:$B$80,$A2,'Master Extraction Sheet'!$D$2:$D$80,"Candidate")</f>
        <v>0</v>
      </c>
      <c r="F2" s="10" t="n">
        <f aca="false">COUNTIFS('Master Extraction Sheet'!$B$2:$B$80,$A2,'Master Extraction Sheet'!$D$2:$D$80,"Extracted")+COUNTIFS('Master Extraction Sheet'!$B$2:$B$80,$A2,'Master Extraction Sheet'!$D$2:$D$80,"Cited in Final")</f>
        <v>0</v>
      </c>
      <c r="G2" s="10" t="n">
        <f aca="false">COUNTIFS('Master Extraction Sheet'!$B$2:$B$80,$A2,'Master Extraction Sheet'!$D$2:$D$80,"Cited in Final")</f>
        <v>0</v>
      </c>
      <c r="H2" s="10" t="n">
        <f aca="false">COUNTIFS('Master Extraction Sheet'!$B$2:$B$80,$A2,'Master Extraction Sheet'!$F$2:$F$80,"Yes")</f>
        <v>0</v>
      </c>
      <c r="I2" s="11" t="str">
        <f aca="false">IF(F2&gt;=C2,"Target met",IF(F2&gt;=B2,"Minimum met",IF(F2=0,"Not started","In progress")))</f>
        <v>Not started</v>
      </c>
    </row>
    <row r="3" customFormat="false" ht="23.85" hidden="false" customHeight="false" outlineLevel="0" collapsed="false">
      <c r="A3" s="8" t="s">
        <v>71</v>
      </c>
      <c r="B3" s="9" t="n">
        <v>2</v>
      </c>
      <c r="C3" s="9" t="n">
        <v>2</v>
      </c>
      <c r="D3" s="9" t="n">
        <v>3</v>
      </c>
      <c r="E3" s="10" t="n">
        <f aca="false">COUNTIFS('Master Extraction Sheet'!$B$2:$B$80,$A3,'Master Extraction Sheet'!$D$2:$D$80,"Candidate")</f>
        <v>0</v>
      </c>
      <c r="F3" s="10" t="n">
        <f aca="false">COUNTIFS('Master Extraction Sheet'!$B$2:$B$80,$A3,'Master Extraction Sheet'!$D$2:$D$80,"Extracted")+COUNTIFS('Master Extraction Sheet'!$B$2:$B$80,$A3,'Master Extraction Sheet'!$D$2:$D$80,"Cited in Final")</f>
        <v>0</v>
      </c>
      <c r="G3" s="10" t="n">
        <f aca="false">COUNTIFS('Master Extraction Sheet'!$B$2:$B$80,$A3,'Master Extraction Sheet'!$D$2:$D$80,"Cited in Final")</f>
        <v>0</v>
      </c>
      <c r="H3" s="10" t="n">
        <f aca="false">COUNTIFS('Master Extraction Sheet'!$B$2:$B$80,$A3,'Master Extraction Sheet'!$F$2:$F$80,"Yes")</f>
        <v>0</v>
      </c>
      <c r="I3" s="11" t="str">
        <f aca="false">IF(F3&gt;=C3,"Target met",IF(F3&gt;=B3,"Minimum met",IF(F3=0,"Not started","In progress")))</f>
        <v>Not started</v>
      </c>
    </row>
    <row r="4" customFormat="false" ht="15" hidden="false" customHeight="false" outlineLevel="0" collapsed="false">
      <c r="A4" s="8" t="s">
        <v>75</v>
      </c>
      <c r="B4" s="9" t="n">
        <v>4</v>
      </c>
      <c r="C4" s="9" t="n">
        <v>5</v>
      </c>
      <c r="D4" s="9" t="n">
        <v>6</v>
      </c>
      <c r="E4" s="10" t="n">
        <f aca="false">COUNTIFS('Master Extraction Sheet'!$B$2:$B$80,$A4,'Master Extraction Sheet'!$D$2:$D$80,"Candidate")</f>
        <v>0</v>
      </c>
      <c r="F4" s="10" t="n">
        <f aca="false">COUNTIFS('Master Extraction Sheet'!$B$2:$B$80,$A4,'Master Extraction Sheet'!$D$2:$D$80,"Extracted")+COUNTIFS('Master Extraction Sheet'!$B$2:$B$80,$A4,'Master Extraction Sheet'!$D$2:$D$80,"Cited in Final")</f>
        <v>0</v>
      </c>
      <c r="G4" s="10" t="n">
        <f aca="false">COUNTIFS('Master Extraction Sheet'!$B$2:$B$80,$A4,'Master Extraction Sheet'!$D$2:$D$80,"Cited in Final")</f>
        <v>0</v>
      </c>
      <c r="H4" s="10" t="n">
        <f aca="false">COUNTIFS('Master Extraction Sheet'!$B$2:$B$80,$A4,'Master Extraction Sheet'!$F$2:$F$80,"Yes")</f>
        <v>0</v>
      </c>
      <c r="I4" s="11" t="str">
        <f aca="false">IF(F4&gt;=C4,"Target met",IF(F4&gt;=B4,"Minimum met",IF(F4=0,"Not started","In progress")))</f>
        <v>Not started</v>
      </c>
    </row>
    <row r="5" customFormat="false" ht="15" hidden="false" customHeight="false" outlineLevel="0" collapsed="false">
      <c r="A5" s="8" t="s">
        <v>44</v>
      </c>
      <c r="B5" s="9" t="n">
        <v>5</v>
      </c>
      <c r="C5" s="9" t="n">
        <v>6</v>
      </c>
      <c r="D5" s="9" t="n">
        <v>7</v>
      </c>
      <c r="E5" s="10" t="n">
        <f aca="false">COUNTIFS('Master Extraction Sheet'!$B$2:$B$80,$A5,'Master Extraction Sheet'!$D$2:$D$80,"Candidate")</f>
        <v>0</v>
      </c>
      <c r="F5" s="10" t="n">
        <f aca="false">COUNTIFS('Master Extraction Sheet'!$B$2:$B$80,$A5,'Master Extraction Sheet'!$D$2:$D$80,"Extracted")+COUNTIFS('Master Extraction Sheet'!$B$2:$B$80,$A5,'Master Extraction Sheet'!$D$2:$D$80,"Cited in Final")</f>
        <v>1</v>
      </c>
      <c r="G5" s="10" t="n">
        <f aca="false">COUNTIFS('Master Extraction Sheet'!$B$2:$B$80,$A5,'Master Extraction Sheet'!$D$2:$D$80,"Cited in Final")</f>
        <v>0</v>
      </c>
      <c r="H5" s="10" t="n">
        <f aca="false">COUNTIFS('Master Extraction Sheet'!$B$2:$B$80,$A5,'Master Extraction Sheet'!$F$2:$F$80,"Yes")</f>
        <v>1</v>
      </c>
      <c r="I5" s="11" t="str">
        <f aca="false">IF(F5&gt;=C5,"Target met",IF(F5&gt;=B5,"Minimum met",IF(F5=0,"Not started","In progress")))</f>
        <v>In progress</v>
      </c>
    </row>
    <row r="6" customFormat="false" ht="15" hidden="false" customHeight="false" outlineLevel="0" collapsed="false">
      <c r="A6" s="8" t="s">
        <v>81</v>
      </c>
      <c r="B6" s="9" t="n">
        <v>3</v>
      </c>
      <c r="C6" s="9" t="n">
        <v>4</v>
      </c>
      <c r="D6" s="9" t="n">
        <v>4</v>
      </c>
      <c r="E6" s="10" t="n">
        <f aca="false">COUNTIFS('Master Extraction Sheet'!$B$2:$B$80,$A6,'Master Extraction Sheet'!$D$2:$D$80,"Candidate")</f>
        <v>0</v>
      </c>
      <c r="F6" s="10" t="n">
        <f aca="false">COUNTIFS('Master Extraction Sheet'!$B$2:$B$80,$A6,'Master Extraction Sheet'!$D$2:$D$80,"Extracted")+COUNTIFS('Master Extraction Sheet'!$B$2:$B$80,$A6,'Master Extraction Sheet'!$D$2:$D$80,"Cited in Final")</f>
        <v>0</v>
      </c>
      <c r="G6" s="10" t="n">
        <f aca="false">COUNTIFS('Master Extraction Sheet'!$B$2:$B$80,$A6,'Master Extraction Sheet'!$D$2:$D$80,"Cited in Final")</f>
        <v>0</v>
      </c>
      <c r="H6" s="10" t="n">
        <f aca="false">COUNTIFS('Master Extraction Sheet'!$B$2:$B$80,$A6,'Master Extraction Sheet'!$F$2:$F$80,"Yes")</f>
        <v>0</v>
      </c>
      <c r="I6" s="11" t="str">
        <f aca="false">IF(F6&gt;=C6,"Target met",IF(F6&gt;=B6,"Minimum met",IF(F6=0,"Not started","In progress")))</f>
        <v>Not started</v>
      </c>
    </row>
    <row r="7" customFormat="false" ht="15" hidden="false" customHeight="false" outlineLevel="0" collapsed="false">
      <c r="A7" s="8" t="s">
        <v>83</v>
      </c>
      <c r="B7" s="9" t="n">
        <v>5</v>
      </c>
      <c r="C7" s="9" t="n">
        <v>6</v>
      </c>
      <c r="D7" s="9" t="n">
        <v>7</v>
      </c>
      <c r="E7" s="10" t="n">
        <f aca="false">COUNTIFS('Master Extraction Sheet'!$B$2:$B$80,$A7,'Master Extraction Sheet'!$D$2:$D$80,"Candidate")</f>
        <v>0</v>
      </c>
      <c r="F7" s="10" t="n">
        <f aca="false">COUNTIFS('Master Extraction Sheet'!$B$2:$B$80,$A7,'Master Extraction Sheet'!$D$2:$D$80,"Extracted")+COUNTIFS('Master Extraction Sheet'!$B$2:$B$80,$A7,'Master Extraction Sheet'!$D$2:$D$80,"Cited in Final")</f>
        <v>0</v>
      </c>
      <c r="G7" s="10" t="n">
        <f aca="false">COUNTIFS('Master Extraction Sheet'!$B$2:$B$80,$A7,'Master Extraction Sheet'!$D$2:$D$80,"Cited in Final")</f>
        <v>0</v>
      </c>
      <c r="H7" s="10" t="n">
        <f aca="false">COUNTIFS('Master Extraction Sheet'!$B$2:$B$80,$A7,'Master Extraction Sheet'!$F$2:$F$80,"Yes")</f>
        <v>0</v>
      </c>
      <c r="I7" s="11" t="str">
        <f aca="false">IF(F7&gt;=C7,"Target met",IF(F7&gt;=B7,"Minimum met",IF(F7=0,"Not started","In progress")))</f>
        <v>Not started</v>
      </c>
    </row>
    <row r="8" customFormat="false" ht="15" hidden="false" customHeight="false" outlineLevel="0" collapsed="false">
      <c r="A8" s="8" t="s">
        <v>85</v>
      </c>
      <c r="B8" s="9" t="n">
        <v>4</v>
      </c>
      <c r="C8" s="9" t="n">
        <v>4</v>
      </c>
      <c r="D8" s="9" t="n">
        <v>5</v>
      </c>
      <c r="E8" s="10" t="n">
        <f aca="false">COUNTIFS('Master Extraction Sheet'!$B$2:$B$80,$A8,'Master Extraction Sheet'!$D$2:$D$80,"Candidate")</f>
        <v>0</v>
      </c>
      <c r="F8" s="10" t="n">
        <f aca="false">COUNTIFS('Master Extraction Sheet'!$B$2:$B$80,$A8,'Master Extraction Sheet'!$D$2:$D$80,"Extracted")+COUNTIFS('Master Extraction Sheet'!$B$2:$B$80,$A8,'Master Extraction Sheet'!$D$2:$D$80,"Cited in Final")</f>
        <v>0</v>
      </c>
      <c r="G8" s="10" t="n">
        <f aca="false">COUNTIFS('Master Extraction Sheet'!$B$2:$B$80,$A8,'Master Extraction Sheet'!$D$2:$D$80,"Cited in Final")</f>
        <v>0</v>
      </c>
      <c r="H8" s="10" t="n">
        <f aca="false">COUNTIFS('Master Extraction Sheet'!$B$2:$B$80,$A8,'Master Extraction Sheet'!$F$2:$F$80,"Yes")</f>
        <v>0</v>
      </c>
      <c r="I8" s="11" t="str">
        <f aca="false">IF(F8&gt;=C8,"Target met",IF(F8&gt;=B8,"Minimum met",IF(F8=0,"Not started","In progress")))</f>
        <v>Not started</v>
      </c>
    </row>
    <row r="9" customFormat="false" ht="15" hidden="false" customHeight="false" outlineLevel="0" collapsed="false">
      <c r="A9" s="8" t="s">
        <v>87</v>
      </c>
      <c r="B9" s="9" t="n">
        <v>3</v>
      </c>
      <c r="C9" s="9" t="n">
        <v>4</v>
      </c>
      <c r="D9" s="9" t="n">
        <v>4</v>
      </c>
      <c r="E9" s="10" t="n">
        <f aca="false">COUNTIFS('Master Extraction Sheet'!$B$2:$B$80,$A9,'Master Extraction Sheet'!$D$2:$D$80,"Candidate")</f>
        <v>0</v>
      </c>
      <c r="F9" s="10" t="n">
        <f aca="false">COUNTIFS('Master Extraction Sheet'!$B$2:$B$80,$A9,'Master Extraction Sheet'!$D$2:$D$80,"Extracted")+COUNTIFS('Master Extraction Sheet'!$B$2:$B$80,$A9,'Master Extraction Sheet'!$D$2:$D$80,"Cited in Final")</f>
        <v>0</v>
      </c>
      <c r="G9" s="10" t="n">
        <f aca="false">COUNTIFS('Master Extraction Sheet'!$B$2:$B$80,$A9,'Master Extraction Sheet'!$D$2:$D$80,"Cited in Final")</f>
        <v>0</v>
      </c>
      <c r="H9" s="10" t="n">
        <f aca="false">COUNTIFS('Master Extraction Sheet'!$B$2:$B$80,$A9,'Master Extraction Sheet'!$F$2:$F$80,"Yes")</f>
        <v>0</v>
      </c>
      <c r="I9" s="11" t="str">
        <f aca="false">IF(F9&gt;=C9,"Target met",IF(F9&gt;=B9,"Minimum met",IF(F9=0,"Not started","In progress")))</f>
        <v>Not started</v>
      </c>
    </row>
    <row r="10" customFormat="false" ht="15" hidden="false" customHeight="false" outlineLevel="0" collapsed="false">
      <c r="A10" s="8" t="s">
        <v>88</v>
      </c>
      <c r="B10" s="9" t="n">
        <v>2</v>
      </c>
      <c r="C10" s="9" t="n">
        <v>2</v>
      </c>
      <c r="D10" s="9" t="n">
        <v>3</v>
      </c>
      <c r="E10" s="10" t="n">
        <f aca="false">COUNTIFS('Master Extraction Sheet'!$B$2:$B$80,$A10,'Master Extraction Sheet'!$D$2:$D$80,"Candidate")</f>
        <v>0</v>
      </c>
      <c r="F10" s="10" t="n">
        <f aca="false">COUNTIFS('Master Extraction Sheet'!$B$2:$B$80,$A10,'Master Extraction Sheet'!$D$2:$D$80,"Extracted")+COUNTIFS('Master Extraction Sheet'!$B$2:$B$80,$A10,'Master Extraction Sheet'!$D$2:$D$80,"Cited in Final")</f>
        <v>0</v>
      </c>
      <c r="G10" s="10" t="n">
        <f aca="false">COUNTIFS('Master Extraction Sheet'!$B$2:$B$80,$A10,'Master Extraction Sheet'!$D$2:$D$80,"Cited in Final")</f>
        <v>0</v>
      </c>
      <c r="H10" s="10" t="n">
        <f aca="false">COUNTIFS('Master Extraction Sheet'!$B$2:$B$80,$A10,'Master Extraction Sheet'!$F$2:$F$80,"Yes")</f>
        <v>0</v>
      </c>
      <c r="I10" s="11" t="str">
        <f aca="false">IF(F10&gt;=C10,"Target met",IF(F10&gt;=B10,"Minimum met",IF(F10=0,"Not started","In progress")))</f>
        <v>Not started</v>
      </c>
    </row>
    <row r="11" customFormat="false" ht="15" hidden="false" customHeight="false" outlineLevel="0" collapsed="false">
      <c r="A11" s="8" t="s">
        <v>89</v>
      </c>
      <c r="B11" s="9" t="n">
        <v>2</v>
      </c>
      <c r="C11" s="9" t="n">
        <v>2</v>
      </c>
      <c r="D11" s="9" t="n">
        <v>3</v>
      </c>
      <c r="E11" s="10" t="n">
        <f aca="false">COUNTIFS('Master Extraction Sheet'!$B$2:$B$80,$A11,'Master Extraction Sheet'!$D$2:$D$80,"Candidate")</f>
        <v>0</v>
      </c>
      <c r="F11" s="10" t="n">
        <f aca="false">COUNTIFS('Master Extraction Sheet'!$B$2:$B$80,$A11,'Master Extraction Sheet'!$D$2:$D$80,"Extracted")+COUNTIFS('Master Extraction Sheet'!$B$2:$B$80,$A11,'Master Extraction Sheet'!$D$2:$D$80,"Cited in Final")</f>
        <v>0</v>
      </c>
      <c r="G11" s="10" t="n">
        <f aca="false">COUNTIFS('Master Extraction Sheet'!$B$2:$B$80,$A11,'Master Extraction Sheet'!$D$2:$D$80,"Cited in Final")</f>
        <v>0</v>
      </c>
      <c r="H11" s="10" t="n">
        <f aca="false">COUNTIFS('Master Extraction Sheet'!$B$2:$B$80,$A11,'Master Extraction Sheet'!$F$2:$F$80,"Yes")</f>
        <v>0</v>
      </c>
      <c r="I11" s="11" t="str">
        <f aca="false">IF(F11&gt;=C11,"Target met",IF(F11&gt;=B11,"Minimum met",IF(F11=0,"Not started","In progress")))</f>
        <v>Not started</v>
      </c>
    </row>
    <row r="12" customFormat="false" ht="15" hidden="false" customHeight="false" outlineLevel="0" collapsed="false">
      <c r="A12" s="8" t="s">
        <v>90</v>
      </c>
      <c r="B12" s="9" t="n">
        <v>4</v>
      </c>
      <c r="C12" s="9" t="n">
        <v>5</v>
      </c>
      <c r="D12" s="9" t="n">
        <v>6</v>
      </c>
      <c r="E12" s="10" t="n">
        <f aca="false">COUNTIFS('Master Extraction Sheet'!$B$2:$B$80,$A12,'Master Extraction Sheet'!$D$2:$D$80,"Candidate")</f>
        <v>0</v>
      </c>
      <c r="F12" s="10" t="n">
        <f aca="false">COUNTIFS('Master Extraction Sheet'!$B$2:$B$80,$A12,'Master Extraction Sheet'!$D$2:$D$80,"Extracted")+COUNTIFS('Master Extraction Sheet'!$B$2:$B$80,$A12,'Master Extraction Sheet'!$D$2:$D$80,"Cited in Final")</f>
        <v>0</v>
      </c>
      <c r="G12" s="10" t="n">
        <f aca="false">COUNTIFS('Master Extraction Sheet'!$B$2:$B$80,$A12,'Master Extraction Sheet'!$D$2:$D$80,"Cited in Final")</f>
        <v>0</v>
      </c>
      <c r="H12" s="10" t="n">
        <f aca="false">COUNTIFS('Master Extraction Sheet'!$B$2:$B$80,$A12,'Master Extraction Sheet'!$F$2:$F$80,"Yes")</f>
        <v>0</v>
      </c>
      <c r="I12" s="11" t="str">
        <f aca="false">IF(F12&gt;=C12,"Target met",IF(F12&gt;=B12,"Minimum met",IF(F12=0,"Not started","In progress")))</f>
        <v>Not started</v>
      </c>
    </row>
    <row r="13" customFormat="false" ht="15" hidden="false" customHeight="false" outlineLevel="0" collapsed="false">
      <c r="A13" s="8" t="s">
        <v>91</v>
      </c>
      <c r="B13" s="9" t="n">
        <v>9</v>
      </c>
      <c r="C13" s="9" t="n">
        <v>10</v>
      </c>
      <c r="D13" s="9" t="n">
        <v>12</v>
      </c>
      <c r="E13" s="10" t="n">
        <f aca="false">COUNTIFS('Master Extraction Sheet'!$B$2:$B$80,$A13,'Master Extraction Sheet'!$D$2:$D$80,"Candidate")</f>
        <v>0</v>
      </c>
      <c r="F13" s="10" t="n">
        <f aca="false">COUNTIFS('Master Extraction Sheet'!$B$2:$B$80,$A13,'Master Extraction Sheet'!$D$2:$D$80,"Extracted")+COUNTIFS('Master Extraction Sheet'!$B$2:$B$80,$A13,'Master Extraction Sheet'!$D$2:$D$80,"Cited in Final")</f>
        <v>0</v>
      </c>
      <c r="G13" s="10" t="n">
        <f aca="false">COUNTIFS('Master Extraction Sheet'!$B$2:$B$80,$A13,'Master Extraction Sheet'!$D$2:$D$80,"Cited in Final")</f>
        <v>0</v>
      </c>
      <c r="H13" s="10" t="n">
        <f aca="false">COUNTIFS('Master Extraction Sheet'!$B$2:$B$80,$A13,'Master Extraction Sheet'!$F$2:$F$80,"Yes")</f>
        <v>0</v>
      </c>
      <c r="I13" s="11" t="str">
        <f aca="false">IF(F13&gt;=C13,"Target met",IF(F13&gt;=B13,"Minimum met",IF(F13=0,"Not started","In progress")))</f>
        <v>Not started</v>
      </c>
    </row>
    <row r="14" customFormat="false" ht="15" hidden="false" customHeight="false" outlineLevel="0" collapsed="false">
      <c r="A14" s="12" t="s">
        <v>100</v>
      </c>
      <c r="B14" s="13" t="n">
        <f aca="false">SUM(B2:B13)</f>
        <v>47</v>
      </c>
      <c r="C14" s="13" t="n">
        <f aca="false">SUM(C2:C13)</f>
        <v>54</v>
      </c>
      <c r="D14" s="13" t="n">
        <f aca="false">SUM(D2:D13)</f>
        <v>65</v>
      </c>
      <c r="E14" s="13" t="n">
        <f aca="false">SUM(E2:E13)</f>
        <v>0</v>
      </c>
      <c r="F14" s="13" t="n">
        <f aca="false">SUM(F2:F13)</f>
        <v>1</v>
      </c>
      <c r="G14" s="13" t="n">
        <f aca="false">SUM(G2:G13)</f>
        <v>0</v>
      </c>
      <c r="H14" s="13" t="n">
        <f aca="false">SUM(H2:H13)</f>
        <v>1</v>
      </c>
    </row>
    <row r="16" customFormat="false" ht="27.75" hidden="false" customHeight="true" outlineLevel="0" collapsed="false">
      <c r="A16" s="14" t="s">
        <v>101</v>
      </c>
      <c r="B16" s="14"/>
      <c r="C16" s="14"/>
      <c r="D16" s="14"/>
      <c r="E16" s="14"/>
      <c r="F16" s="14"/>
      <c r="G16" s="14"/>
      <c r="H16" s="14"/>
      <c r="I16" s="14"/>
    </row>
  </sheetData>
  <mergeCells count="1">
    <mergeCell ref="A16:I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42"/>
    <col collapsed="false" customWidth="true" hidden="false" outlineLevel="0" max="3" min="3" style="0" width="12"/>
    <col collapsed="false" customWidth="true" hidden="false" outlineLevel="0" max="4" min="4" style="0" width="22"/>
    <col collapsed="false" customWidth="true" hidden="false" outlineLevel="0" max="5" min="5" style="0" width="34"/>
  </cols>
  <sheetData>
    <row r="1" customFormat="false" ht="17.35" hidden="false" customHeight="false" outlineLevel="0" collapsed="false">
      <c r="A1" s="15" t="s">
        <v>102</v>
      </c>
      <c r="B1" s="15"/>
      <c r="C1" s="15"/>
      <c r="D1" s="15"/>
      <c r="E1" s="15"/>
    </row>
    <row r="2" customFormat="false" ht="27.75" hidden="false" customHeight="true" outlineLevel="0" collapsed="false">
      <c r="A2" s="16" t="s">
        <v>103</v>
      </c>
      <c r="B2" s="16"/>
      <c r="C2" s="16"/>
      <c r="D2" s="16"/>
      <c r="E2" s="16"/>
    </row>
    <row r="4" customFormat="false" ht="30" hidden="false" customHeight="true" outlineLevel="0" collapsed="false">
      <c r="A4" s="6" t="s">
        <v>104</v>
      </c>
      <c r="B4" s="6" t="s">
        <v>105</v>
      </c>
      <c r="C4" s="6" t="s">
        <v>106</v>
      </c>
      <c r="D4" s="6" t="s">
        <v>107</v>
      </c>
      <c r="E4" s="6" t="s">
        <v>108</v>
      </c>
    </row>
    <row r="5" customFormat="false" ht="45.75" hidden="false" customHeight="true" outlineLevel="0" collapsed="false">
      <c r="A5" s="8" t="s">
        <v>72</v>
      </c>
      <c r="B5" s="8" t="s">
        <v>109</v>
      </c>
      <c r="C5" s="17" t="s">
        <v>110</v>
      </c>
      <c r="D5" s="17" t="n">
        <f aca="false">COUNTIFS('Master Extraction Sheet'!$C$2:$C$80,A5,'Master Extraction Sheet'!$D$2:$D$80,"Extracted")+COUNTIFS('Master Extraction Sheet'!$C$2:$C$80,A5,'Master Extraction Sheet'!$D$2:$D$80,"Cited in Final")</f>
        <v>0</v>
      </c>
      <c r="E5" s="8"/>
    </row>
    <row r="6" customFormat="false" ht="45.75" hidden="false" customHeight="true" outlineLevel="0" collapsed="false">
      <c r="A6" s="8" t="s">
        <v>76</v>
      </c>
      <c r="B6" s="8" t="s">
        <v>111</v>
      </c>
      <c r="C6" s="17" t="s">
        <v>110</v>
      </c>
      <c r="D6" s="17" t="n">
        <f aca="false">COUNTIFS('Master Extraction Sheet'!$C$2:$C$80,A6,'Master Extraction Sheet'!$D$2:$D$80,"Extracted")+COUNTIFS('Master Extraction Sheet'!$C$2:$C$80,A6,'Master Extraction Sheet'!$D$2:$D$80,"Cited in Final")</f>
        <v>0</v>
      </c>
      <c r="E6" s="8"/>
    </row>
    <row r="7" customFormat="false" ht="45.75" hidden="false" customHeight="true" outlineLevel="0" collapsed="false">
      <c r="A7" s="8" t="s">
        <v>79</v>
      </c>
      <c r="B7" s="8" t="s">
        <v>112</v>
      </c>
      <c r="C7" s="17" t="s">
        <v>110</v>
      </c>
      <c r="D7" s="17" t="n">
        <f aca="false">COUNTIFS('Master Extraction Sheet'!$C$2:$C$80,A7,'Master Extraction Sheet'!$D$2:$D$80,"Extracted")+COUNTIFS('Master Extraction Sheet'!$C$2:$C$80,A7,'Master Extraction Sheet'!$D$2:$D$80,"Cited in Final")</f>
        <v>0</v>
      </c>
      <c r="E7" s="8"/>
    </row>
    <row r="8" customFormat="false" ht="45.75" hidden="false" customHeight="true" outlineLevel="0" collapsed="false">
      <c r="A8" s="8" t="s">
        <v>82</v>
      </c>
      <c r="B8" s="8" t="s">
        <v>113</v>
      </c>
      <c r="C8" s="17" t="s">
        <v>114</v>
      </c>
      <c r="D8" s="17" t="n">
        <f aca="false">COUNTIFS('Master Extraction Sheet'!$C$2:$C$80,A8,'Master Extraction Sheet'!$D$2:$D$80,"Extracted")+COUNTIFS('Master Extraction Sheet'!$C$2:$C$80,A8,'Master Extraction Sheet'!$D$2:$D$80,"Cited in Final")</f>
        <v>0</v>
      </c>
      <c r="E8" s="8"/>
    </row>
    <row r="9" customFormat="false" ht="45.75" hidden="false" customHeight="true" outlineLevel="0" collapsed="false">
      <c r="A9" s="8" t="s">
        <v>84</v>
      </c>
      <c r="B9" s="8" t="s">
        <v>115</v>
      </c>
      <c r="C9" s="17" t="s">
        <v>116</v>
      </c>
      <c r="D9" s="17" t="n">
        <f aca="false">COUNTIFS('Master Extraction Sheet'!$C$2:$C$80,A9,'Master Extraction Sheet'!$D$2:$D$80,"Extracted")+COUNTIFS('Master Extraction Sheet'!$C$2:$C$80,A9,'Master Extraction Sheet'!$D$2:$D$80,"Cited in Final")</f>
        <v>0</v>
      </c>
      <c r="E9" s="8"/>
    </row>
    <row r="10" customFormat="false" ht="45.75" hidden="false" customHeight="true" outlineLevel="0" collapsed="false">
      <c r="A10" s="8" t="s">
        <v>86</v>
      </c>
      <c r="B10" s="8" t="s">
        <v>117</v>
      </c>
      <c r="C10" s="17" t="s">
        <v>118</v>
      </c>
      <c r="D10" s="17" t="n">
        <f aca="false">COUNTIFS('Master Extraction Sheet'!$C$2:$C$80,A10,'Master Extraction Sheet'!$D$2:$D$80,"Extracted")+COUNTIFS('Master Extraction Sheet'!$C$2:$C$80,A10,'Master Extraction Sheet'!$D$2:$D$80,"Cited in Final")</f>
        <v>0</v>
      </c>
      <c r="E10" s="8"/>
    </row>
    <row r="12" customFormat="false" ht="15" hidden="false" customHeight="false" outlineLevel="0" collapsed="false">
      <c r="A12" s="18" t="s">
        <v>119</v>
      </c>
      <c r="B12" s="18"/>
      <c r="C12" s="18"/>
      <c r="D12" s="18"/>
      <c r="E12" s="18"/>
    </row>
    <row r="13" customFormat="false" ht="30" hidden="false" customHeight="true" outlineLevel="0" collapsed="false">
      <c r="A13" s="19" t="s">
        <v>120</v>
      </c>
      <c r="B13" s="19"/>
      <c r="C13" s="19"/>
      <c r="D13" s="19"/>
      <c r="E13" s="19"/>
    </row>
    <row r="14" customFormat="false" ht="30" hidden="false" customHeight="true" outlineLevel="0" collapsed="false">
      <c r="A14" s="19" t="s">
        <v>121</v>
      </c>
      <c r="B14" s="19"/>
      <c r="C14" s="19"/>
      <c r="D14" s="19"/>
      <c r="E14" s="19"/>
    </row>
    <row r="15" customFormat="false" ht="30" hidden="false" customHeight="true" outlineLevel="0" collapsed="false">
      <c r="A15" s="19" t="s">
        <v>122</v>
      </c>
      <c r="B15" s="19"/>
      <c r="C15" s="19"/>
      <c r="D15" s="19"/>
      <c r="E15" s="19"/>
    </row>
    <row r="17" customFormat="false" ht="19.5" hidden="false" customHeight="true" outlineLevel="0" collapsed="false">
      <c r="A17" s="20" t="s">
        <v>123</v>
      </c>
      <c r="B17" s="20"/>
      <c r="C17" s="21" t="s">
        <v>124</v>
      </c>
      <c r="D17" s="21"/>
      <c r="E17" s="21"/>
    </row>
    <row r="18" customFormat="false" ht="60" hidden="false" customHeight="true" outlineLevel="0" collapsed="false">
      <c r="A18" s="22" t="s">
        <v>125</v>
      </c>
      <c r="B18" s="22"/>
      <c r="C18" s="22"/>
      <c r="D18" s="22"/>
      <c r="E18" s="22"/>
    </row>
    <row r="19" customFormat="false" ht="15" hidden="false" customHeight="false" outlineLevel="0" collapsed="false">
      <c r="A19" s="22"/>
      <c r="B19" s="22"/>
      <c r="C19" s="22"/>
      <c r="D19" s="22"/>
      <c r="E19" s="22"/>
    </row>
    <row r="20" customFormat="false" ht="15" hidden="false" customHeight="false" outlineLevel="0" collapsed="false">
      <c r="A20" s="22"/>
      <c r="B20" s="22"/>
      <c r="C20" s="22"/>
      <c r="D20" s="22"/>
      <c r="E20" s="22"/>
    </row>
  </sheetData>
  <mergeCells count="9">
    <mergeCell ref="A1:E1"/>
    <mergeCell ref="A2:E2"/>
    <mergeCell ref="A12:E12"/>
    <mergeCell ref="A13:E13"/>
    <mergeCell ref="A14:E14"/>
    <mergeCell ref="A15:E15"/>
    <mergeCell ref="A17:B17"/>
    <mergeCell ref="C17:E17"/>
    <mergeCell ref="A18: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2026-08-17T22:18:02Z</dcterms:created>
  <dc:creator>openpyxl</dc:creator>
  <dc:description/>
  <dc:language>en-US</dc:language>
  <cp:lastModifiedBy/>
  <dcterms:modified xsi:type="dcterms:W3CDTF">2026-08-17T22:18:02Z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