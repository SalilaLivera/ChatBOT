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Master Extraction Sheet" sheetId="2" state="visible" r:id="rId2"/>
    <sheet xmlns:r="http://schemas.openxmlformats.org/officeDocument/2006/relationships" name="Lists" sheetId="3" state="hidden" r:id="rId3"/>
    <sheet xmlns:r="http://schemas.openxmlformats.org/officeDocument/2006/relationships" name="Progress Tracker" sheetId="4" state="visible" r:id="rId4"/>
    <sheet xmlns:r="http://schemas.openxmlformats.org/officeDocument/2006/relationships" name="Behavioural Signal Track" sheetId="5" state="visible" r:id="rId5"/>
  </sheets>
  <definedNames>
    <definedName name="_xlnm._FilterDatabase" localSheetId="1" hidden="1">'Master Extraction Sheet'!$A$1:$Y$50</definedName>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sz val="10.5"/>
    </font>
    <font>
      <name val="Arial"/>
      <charset val="1"/>
      <family val="0"/>
      <b val="1"/>
      <color rgb="FF4A4A4A"/>
      <sz val="12"/>
    </font>
    <font>
      <name val="Arial"/>
      <charset val="1"/>
      <family val="0"/>
      <b val="1"/>
      <i val="1"/>
      <sz val="10.5"/>
    </font>
    <font>
      <name val="Arial"/>
      <charset val="1"/>
      <family val="0"/>
      <b val="1"/>
      <sz val="10"/>
    </font>
    <font>
      <name val="Arial"/>
      <charset val="1"/>
      <family val="0"/>
      <sz val="10"/>
    </font>
    <font>
      <name val="Arial"/>
      <charset val="1"/>
      <family val="0"/>
      <i val="1"/>
      <sz val="10"/>
    </font>
    <font>
      <name val="Arial"/>
      <charset val="1"/>
      <family val="0"/>
      <i val="1"/>
      <color rgb="FF666666"/>
      <sz val="9.5"/>
    </font>
    <font>
      <name val="Arial"/>
      <charset val="1"/>
      <family val="0"/>
      <b val="1"/>
      <sz val="14"/>
    </font>
    <font>
      <name val="Arial"/>
      <charset val="1"/>
      <family val="0"/>
      <i val="1"/>
      <color rgb="FF555555"/>
      <sz val="10"/>
    </font>
    <font>
      <name val="Arial"/>
      <charset val="1"/>
      <family val="0"/>
      <b val="1"/>
      <sz val="12"/>
    </font>
    <font>
      <name val="Arial"/>
      <charset val="1"/>
      <family val="0"/>
      <b val="1"/>
      <sz val="11"/>
    </font>
    <font>
      <name val="Arial"/>
      <charset val="1"/>
      <family val="0"/>
      <b val="1"/>
      <i val="1"/>
      <color rgb="FFAA5500"/>
      <sz val="10"/>
    </font>
    <font>
      <b val="1"/>
    </font>
  </fonts>
  <fills count="7">
    <fill>
      <patternFill/>
    </fill>
    <fill>
      <patternFill patternType="gray125"/>
    </fill>
    <fill>
      <patternFill patternType="solid">
        <fgColor rgb="FFFFE8D6"/>
        <bgColor rgb="FFE8DFF5"/>
      </patternFill>
    </fill>
    <fill>
      <patternFill patternType="solid">
        <fgColor rgb="FFE8DFF5"/>
        <bgColor rgb="FFDCEEFB"/>
      </patternFill>
    </fill>
    <fill>
      <patternFill patternType="solid">
        <fgColor rgb="FFDFF5E3"/>
        <bgColor rgb="FFDCEEFB"/>
      </patternFill>
    </fill>
    <fill>
      <patternFill patternType="solid">
        <fgColor rgb="FFDCEEFB"/>
        <bgColor rgb="FFDFF5E3"/>
      </patternFill>
    </fill>
    <fill>
      <patternFill patternType="solid">
        <fgColor rgb="00D9EAF7"/>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0" applyAlignment="1" pivotButton="0" quotePrefix="0" xfId="0">
      <alignment horizontal="general" vertical="center" wrapText="1"/>
    </xf>
    <xf numFmtId="0" fontId="8" fillId="3" borderId="1" applyAlignment="1" pivotButton="0" quotePrefix="0" xfId="0">
      <alignment horizontal="left" vertical="center" wrapText="1"/>
    </xf>
    <xf numFmtId="0" fontId="9" fillId="4" borderId="1" applyAlignment="1" pivotButton="0" quotePrefix="0" xfId="0">
      <alignment horizontal="left" vertical="top" wrapText="1"/>
    </xf>
    <xf numFmtId="0" fontId="9" fillId="0" borderId="1" applyAlignment="1" pivotButton="0" quotePrefix="0" xfId="0">
      <alignment horizontal="left" vertical="top" wrapText="1"/>
    </xf>
    <xf numFmtId="0" fontId="9" fillId="5" borderId="1" applyAlignment="1" pivotButton="0" quotePrefix="0" xfId="0">
      <alignment horizontal="center" vertical="bottom"/>
    </xf>
    <xf numFmtId="0" fontId="9" fillId="0" borderId="1" applyAlignment="1" pivotButton="0" quotePrefix="0" xfId="0">
      <alignment horizontal="center" vertical="bottom"/>
    </xf>
    <xf numFmtId="0" fontId="10" fillId="0" borderId="1" applyAlignment="1" pivotButton="0" quotePrefix="0" xfId="0">
      <alignment horizontal="center" vertical="bottom"/>
    </xf>
    <xf numFmtId="0" fontId="8" fillId="0" borderId="1" applyAlignment="1" pivotButton="0" quotePrefix="0" xfId="0">
      <alignment horizontal="general" vertical="bottom"/>
    </xf>
    <xf numFmtId="0" fontId="8" fillId="0" borderId="1" applyAlignment="1" pivotButton="0" quotePrefix="0" xfId="0">
      <alignment horizontal="center" vertical="bottom"/>
    </xf>
    <xf numFmtId="0" fontId="11" fillId="0" borderId="0" applyAlignment="1" pivotButton="0" quotePrefix="0" xfId="0">
      <alignment horizontal="general" vertical="bottom" wrapText="1"/>
    </xf>
    <xf numFmtId="0" fontId="12" fillId="0" borderId="0" applyAlignment="1" pivotButton="0" quotePrefix="0" xfId="0">
      <alignment horizontal="general" vertical="bottom"/>
    </xf>
    <xf numFmtId="0" fontId="13" fillId="0" borderId="0" applyAlignment="1" pivotButton="0" quotePrefix="0" xfId="0">
      <alignment horizontal="general" vertical="bottom" wrapText="1"/>
    </xf>
    <xf numFmtId="0" fontId="9" fillId="0" borderId="1" applyAlignment="1" pivotButton="0" quotePrefix="0" xfId="0">
      <alignment horizontal="center" vertical="bottom" wrapText="1"/>
    </xf>
    <xf numFmtId="0" fontId="14" fillId="0" borderId="0" applyAlignment="1" pivotButton="0" quotePrefix="0" xfId="0">
      <alignment horizontal="general" vertical="bottom"/>
    </xf>
    <xf numFmtId="0" fontId="9" fillId="0" borderId="0" applyAlignment="1" pivotButton="0" quotePrefix="0" xfId="0">
      <alignment horizontal="general" vertical="top" wrapText="1"/>
    </xf>
    <xf numFmtId="0" fontId="15" fillId="2" borderId="0" applyAlignment="1" pivotButton="0" quotePrefix="0" xfId="0">
      <alignment horizontal="general" vertical="bottom"/>
    </xf>
    <xf numFmtId="0" fontId="16" fillId="2"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2" borderId="0" applyAlignment="1" pivotButton="0" quotePrefix="0" xfId="0">
      <alignment horizontal="general" vertical="center" wrapText="1"/>
    </xf>
    <xf numFmtId="0" fontId="17" fillId="6" borderId="1" applyAlignment="1" pivotButton="0" quotePrefix="0" xfId="0">
      <alignment vertical="top" wrapText="1"/>
    </xf>
    <xf numFmtId="0" fontId="9" fillId="4" borderId="1" applyAlignment="1" pivotButton="0" quotePrefix="0" xfId="0">
      <alignment vertical="top" wrapText="1"/>
    </xf>
    <xf numFmtId="0" fontId="9" fillId="0" borderId="1" applyAlignment="1" pivotButton="0" quotePrefix="0" xfId="0">
      <alignment vertical="top" wrapText="1"/>
    </xf>
    <xf numFmtId="0" fontId="9" fillId="5" borderId="1" applyAlignment="1" pivotButton="0" quotePrefix="0" xfId="0">
      <alignment vertical="top" wrapText="1"/>
    </xf>
    <xf numFmtId="0" fontId="10" fillId="0"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11" fillId="0" borderId="0" applyAlignment="1" pivotButton="0" quotePrefix="0" xfId="0">
      <alignment vertical="top" wrapText="1"/>
    </xf>
    <xf numFmtId="0" fontId="17" fillId="6" borderId="0" applyAlignment="1" pivotButton="0" quotePrefix="0" xfId="0">
      <alignment vertical="top" wrapText="1"/>
    </xf>
    <xf numFmtId="0" fontId="13" fillId="0" borderId="0" applyAlignment="1" pivotButton="0" quotePrefix="0" xfId="0">
      <alignment vertical="top" wrapText="1"/>
    </xf>
    <xf numFmtId="0" fontId="8" fillId="3" borderId="1" applyAlignment="1" pivotButton="0" quotePrefix="0" xfId="0">
      <alignment vertical="top" wrapText="1"/>
    </xf>
    <xf numFmtId="0" fontId="14" fillId="0" borderId="0" applyAlignment="1" pivotButton="0" quotePrefix="0" xfId="0">
      <alignment vertical="top" wrapText="1"/>
    </xf>
    <xf numFmtId="0" fontId="9" fillId="0" borderId="0" applyAlignment="1" pivotButton="0" quotePrefix="0" xfId="0">
      <alignment vertical="top" wrapText="1"/>
    </xf>
    <xf numFmtId="0" fontId="15" fillId="2" borderId="0" applyAlignment="1" pivotButton="0" quotePrefix="0" xfId="0">
      <alignment vertical="top" wrapText="1"/>
    </xf>
    <xf numFmtId="0" fontId="16" fillId="2"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8D6"/>
      <rgbColor rgb="FFDCEEFB"/>
      <rgbColor rgb="FF660066"/>
      <rgbColor rgb="FFFF8080"/>
      <rgbColor rgb="FF0066CC"/>
      <rgbColor rgb="FFE8DFF5"/>
      <rgbColor rgb="FF000080"/>
      <rgbColor rgb="FFFF00FF"/>
      <rgbColor rgb="FFFFFF00"/>
      <rgbColor rgb="FF00FFFF"/>
      <rgbColor rgb="FF800080"/>
      <rgbColor rgb="FF800000"/>
      <rgbColor rgb="FF008080"/>
      <rgbColor rgb="FF0000FF"/>
      <rgbColor rgb="FF00CCFF"/>
      <rgbColor rgb="FFCCFFFF"/>
      <rgbColor rgb="FFDFF5E3"/>
      <rgbColor rgb="FFFFFF99"/>
      <rgbColor rgb="FF99CCFF"/>
      <rgbColor rgb="FFFF99CC"/>
      <rgbColor rgb="FFCC99FF"/>
      <rgbColor rgb="FFFFCC99"/>
      <rgbColor rgb="FF3366FF"/>
      <rgbColor rgb="FF33CCCC"/>
      <rgbColor rgb="FF99CC00"/>
      <rgbColor rgb="FFFFCC00"/>
      <rgbColor rgb="FFFF9900"/>
      <rgbColor rgb="FFFF6600"/>
      <rgbColor rgb="FF666666"/>
      <rgbColor rgb="FFAAAAAA"/>
      <rgbColor rgb="FF003366"/>
      <rgbColor rgb="FF339966"/>
      <rgbColor rgb="FF003300"/>
      <rgbColor rgb="FF333300"/>
      <rgbColor rgb="FFAA5500"/>
      <rgbColor rgb="FF993366"/>
      <rgbColor rgb="FF555555"/>
      <rgbColor rgb="FF4A4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23" min="1" max="1"/>
  </cols>
  <sheetData>
    <row r="1" ht="19.7" customHeight="1" s="24">
      <c r="A1" s="25" t="inlineStr">
        <is>
          <t>Paper Extraction Sheet — IT22638168 (Document 2)</t>
        </is>
      </c>
    </row>
    <row r="3" ht="30" customHeight="1" s="24">
      <c r="A3" s="26" t="inlineStr">
        <is>
          <t>Working companion to the Literature Review Master Plan. This is Document 2 of that plan: one row per paper, screened and extracted as the literature search proceeds.</t>
        </is>
      </c>
    </row>
    <row r="5" ht="15" customHeight="1" s="24">
      <c r="A5" s="27" t="inlineStr">
        <is>
          <t>Sheets in this workbook</t>
        </is>
      </c>
    </row>
    <row r="6" ht="30" customHeight="1" s="24">
      <c r="A6" s="26" t="inlineStr">
        <is>
          <t>Master Extraction Sheet — the main tracker. One row per paper. Log every candidate here, including ones you reject — a fast 'Screened Out' entry is cheaper than re-finding a paper later.</t>
        </is>
      </c>
    </row>
    <row r="7" ht="45" customHeight="1" s="24">
      <c r="A7" s="26" t="inlineStr">
        <is>
          <t>Progress Tracker — a live dashboard (formula-driven) showing how many papers you've extracted per topic against the targets from the Master Plan's Section C. Updates automatically as you fill in the Master sheet.</t>
        </is>
      </c>
    </row>
    <row r="8" ht="30" customHeight="1" s="24">
      <c r="A8" s="26" t="inlineStr">
        <is>
          <t>Behavioural Signal Track — the dedicated Section G tracker. Resolve this one first: the fusion methodology (§3.2.6) depends on its outcome.</t>
        </is>
      </c>
    </row>
    <row r="10" ht="15" customHeight="1" s="24">
      <c r="A10" s="27" t="inlineStr">
        <is>
          <t>How to use the Master Extraction Sheet</t>
        </is>
      </c>
    </row>
    <row r="11" ht="30" customHeight="1" s="24">
      <c r="A11" s="26" t="inlineStr">
        <is>
          <t>1. Every candidate paper gets a row, the moment you find it — set Status to 'Candidate' immediately, even before reading it properly.</t>
        </is>
      </c>
    </row>
    <row r="12" ht="30" customHeight="1" s="24">
      <c r="A12" s="26" t="inlineStr">
        <is>
          <t>2. After screening (checking it's a real, relevant, sufficiently high-quality source), update Status to 'Screened Out' (with a one-line reason in Notes) or move on to full extraction.</t>
        </is>
      </c>
    </row>
    <row r="13" ht="30" customHeight="1" s="24">
      <c r="A13" s="26" t="inlineStr">
        <is>
          <t>3. Fill in every column you can once you've read the paper properly, and set Status to 'Extracted'.</t>
        </is>
      </c>
    </row>
    <row r="14" ht="45" customHeight="1" s="24">
      <c r="A14" s="26" t="inlineStr">
        <is>
          <t>4. Set 'Verified Real?' to Yes only once you have personally opened the DOI/link and confirmed the paper exists and says what you're citing it for. Given this project's earlier history with fabricated references, no paper moves to 'Cited in Final' with this column still on 'Pending'.</t>
        </is>
      </c>
    </row>
    <row r="15" ht="30" customHeight="1" s="24">
      <c r="A15" s="26" t="inlineStr">
        <is>
          <t>5. Set Status to 'Cited in Final' only once it's actually used in the written literature review chapter.</t>
        </is>
      </c>
    </row>
    <row r="17" ht="15" customHeight="1" s="24">
      <c r="A17" s="27" t="inlineStr">
        <is>
          <t>Colour legend</t>
        </is>
      </c>
    </row>
    <row r="18" ht="15" customHeight="1" s="24">
      <c r="A18" s="28" t="inlineStr">
        <is>
          <t xml:space="preserve">  Green fill — the example row. Replace with your own data; do not leave it in the working sheet.</t>
        </is>
      </c>
    </row>
    <row r="19" ht="15" customHeight="1" s="24">
      <c r="A19" s="28" t="inlineStr">
        <is>
          <t xml:space="preserve">  Blue fill (Progress Tracker) — hardcoded targets from the Master Plan. Adjust only if your supervisor changes scope.</t>
        </is>
      </c>
    </row>
    <row r="20" ht="15" customHeight="1" s="24">
      <c r="A20" s="28" t="inlineStr">
        <is>
          <t xml:space="preserve">  Orange fill — a caution/discipline note, not a place to enter data.</t>
        </is>
      </c>
    </row>
    <row r="22" ht="15" customHeight="1" s="24">
      <c r="A22" s="27" t="inlineStr">
        <is>
          <t>One rule that matters more than any other</t>
        </is>
      </c>
    </row>
    <row r="23" ht="45" customHeight="1" s="24">
      <c r="A23" s="29" t="inlineStr">
        <is>
          <t>Never mark a paper 'Verified Real? = Yes' from a search-result snippet alone. Open the actual DOI or publisher link yourself. This exact project had ten fabricated references make it into an earlier proposal draft before being caught — this sheet exists partly to make that structurally harder to repeat.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Y80"/>
  <sheetViews>
    <sheetView showFormulas="0" showGridLines="1" showRowColHeaders="1" showZeros="1" rightToLeft="0" tabSelected="0" showOutlineSymbols="1" defaultGridColor="1" view="normal" topLeftCell="A1" colorId="64" zoomScale="90" zoomScaleNormal="90" zoomScalePageLayoutView="100" workbookViewId="0">
      <pane ySplit="1" topLeftCell="A2" activePane="bottomLeft" state="frozen"/>
      <selection pane="bottom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42" customWidth="1" style="23" min="9" max="9"/>
    <col width="18" customWidth="1" style="23" min="10" max="10"/>
    <col width="38" customWidth="1" style="23" min="11" max="11"/>
    <col width="42" customWidth="1" style="23" min="12" max="12"/>
    <col width="28" customWidth="1" style="23" min="13" max="14"/>
    <col width="28" customWidth="1" style="24" min="14" max="14"/>
    <col width="32" customWidth="1" style="23" min="15" max="15"/>
    <col width="28" customWidth="1" style="23" min="16" max="16"/>
    <col width="20" customWidth="1" style="23" min="17" max="17"/>
    <col width="28" customWidth="1" style="23" min="18" max="18"/>
    <col width="24" customWidth="1" style="23" min="19" max="19"/>
    <col width="42" customWidth="1" style="23" min="20" max="21"/>
    <col width="38" customWidth="1" style="24" min="21" max="21"/>
    <col width="42" customWidth="1" style="23" min="22" max="22"/>
    <col width="38" customWidth="1" style="23" min="23" max="25"/>
    <col width="32" customWidth="1" style="24" min="24" max="24"/>
    <col width="30" customWidth="1" style="24" min="25" max="25"/>
  </cols>
  <sheetData>
    <row r="1" ht="31.5" customHeight="1" s="24">
      <c r="A1" s="30" t="inlineStr">
        <is>
          <t>ID</t>
        </is>
      </c>
      <c r="B1" s="30" t="inlineStr">
        <is>
          <t>Topic</t>
        </is>
      </c>
      <c r="C1" s="30" t="inlineStr">
        <is>
          <t>Sub-topic (Behavioural only)</t>
        </is>
      </c>
      <c r="D1" s="30" t="inlineStr">
        <is>
          <t>Status</t>
        </is>
      </c>
      <c r="E1" s="30" t="inlineStr">
        <is>
          <t>Tier</t>
        </is>
      </c>
      <c r="F1" s="30" t="inlineStr">
        <is>
          <t>Verified Real?</t>
        </is>
      </c>
      <c r="G1" s="30" t="inlineStr">
        <is>
          <t>Authors</t>
        </is>
      </c>
      <c r="H1" s="30" t="inlineStr">
        <is>
          <t>Year</t>
        </is>
      </c>
      <c r="I1" s="30" t="inlineStr">
        <is>
          <t>Title</t>
        </is>
      </c>
      <c r="J1" s="30" t="inlineStr">
        <is>
          <t>Venue</t>
        </is>
      </c>
      <c r="K1" s="30" t="inlineStr">
        <is>
          <t>DOI / Stable Link</t>
        </is>
      </c>
      <c r="L1" s="30" t="inlineStr">
        <is>
          <t>Research Problem</t>
        </is>
      </c>
      <c r="M1" s="30" t="inlineStr">
        <is>
          <t>Dataset</t>
        </is>
      </c>
      <c r="N1" s="30" t="inlineStr">
        <is>
          <t>Population / Context</t>
        </is>
      </c>
      <c r="O1" s="30" t="inlineStr">
        <is>
          <t>Method</t>
        </is>
      </c>
      <c r="P1" s="30" t="inlineStr">
        <is>
          <t>Model / Algorithm</t>
        </is>
      </c>
      <c r="Q1" s="30" t="inlineStr">
        <is>
          <t>Input Modality</t>
        </is>
      </c>
      <c r="R1" s="30" t="inlineStr">
        <is>
          <t>Output</t>
        </is>
      </c>
      <c r="S1" s="30" t="inlineStr">
        <is>
          <t>Evaluation Metrics</t>
        </is>
      </c>
      <c r="T1" s="30" t="inlineStr">
        <is>
          <t>Results</t>
        </is>
      </c>
      <c r="U1" s="30" t="inlineStr">
        <is>
          <t>Limitations (stated by authors)</t>
        </is>
      </c>
      <c r="V1" s="30" t="inlineStr">
        <is>
          <t>Relevance to IT22638168</t>
        </is>
      </c>
      <c r="W1" s="30" t="inlineStr">
        <is>
          <t>Gap Identified</t>
        </is>
      </c>
      <c r="X1" s="30" t="inlineStr">
        <is>
          <t>Technology/Technique to Reuse</t>
        </is>
      </c>
      <c r="Y1" s="30" t="inlineStr">
        <is>
          <t>Notes</t>
        </is>
      </c>
    </row>
    <row r="2" ht="60" customHeight="1" s="24">
      <c r="A2" s="31" t="inlineStr">
        <is>
          <t>M1</t>
        </is>
      </c>
      <c r="B2" s="31" t="inlineStr">
        <is>
          <t>Maternal Mental Health / Sri Lanka Context</t>
        </is>
      </c>
      <c r="C2" s="31" t="inlineStr">
        <is>
          <t>(N/A — not Behavioural Track)</t>
        </is>
      </c>
      <c r="D2" s="31" t="inlineStr">
        <is>
          <t>Extracted</t>
        </is>
      </c>
      <c r="E2" s="31" t="inlineStr">
        <is>
          <t>Tier 1</t>
        </is>
      </c>
      <c r="F2" s="31" t="inlineStr">
        <is>
          <t>Yes</t>
        </is>
      </c>
      <c r="G2" s="31" t="inlineStr">
        <is>
          <t>Agampodi, S.B.; Agampodi, T.C.</t>
        </is>
      </c>
      <c r="H2" s="31" t="inlineStr">
        <is>
          <t>2013</t>
        </is>
      </c>
      <c r="I2" s="31" t="inlineStr">
        <is>
          <t>Antenatal Depression in Anuradhapura, Sri Lanka and the Factor Structure of the Sinhalese Version of Edinburgh Post Partum Depression Scale among Pregnant Women</t>
        </is>
      </c>
      <c r="J2" s="31" t="inlineStr">
        <is>
          <t>PLOS ONE</t>
        </is>
      </c>
      <c r="K2" s="31" t="inlineStr">
        <is>
          <t>https://doi.org/10.1371/journal.pone.0069708</t>
        </is>
      </c>
      <c r="L2" s="31" t="inlineStr">
        <is>
          <t>Prevalence/correlates of antenatal depression and Sinhala EPDS structure</t>
        </is>
      </c>
      <c r="M2" s="31" t="inlineStr">
        <is>
          <t>376 pregnant women</t>
        </is>
      </c>
      <c r="N2" s="31" t="inlineStr">
        <is>
          <t>24–36 weeks, Anuradhapura Sri Lanka</t>
        </is>
      </c>
      <c r="O2" s="31" t="inlineStr">
        <is>
          <t>Cross-sectional cluster sample; Sinhala EPDS</t>
        </is>
      </c>
      <c r="P2" s="31" t="inlineStr">
        <is>
          <t>EPDS/factor analysis</t>
        </is>
      </c>
      <c r="Q2" s="31" t="inlineStr">
        <is>
          <t>Questionnaire</t>
        </is>
      </c>
      <c r="R2" s="31" t="inlineStr">
        <is>
          <t>Antenatal depression</t>
        </is>
      </c>
      <c r="S2" s="31" t="inlineStr">
        <is>
          <t>EPDS prevalence; factor analysis</t>
        </is>
      </c>
      <c r="T2" s="31" t="inlineStr">
        <is>
          <t>16.2% prevalence; Sinhala EPDS two-factor solution</t>
        </is>
      </c>
      <c r="U2" s="31" t="inlineStr">
        <is>
          <t>Single district; screening not clinical diagnosis</t>
        </is>
      </c>
      <c r="V2" s="31" t="inlineStr">
        <is>
          <t>Direct Sri Lankan evidence and Sinhala screening reference</t>
        </is>
      </c>
      <c r="W2" s="31" t="inlineStr">
        <is>
          <t>Need digital, conversational, continuous support rather than periodic screening</t>
        </is>
      </c>
      <c r="X2" s="31" t="inlineStr">
        <is>
          <t>Sinhala emotional categories and self-report validation</t>
        </is>
      </c>
      <c r="Y2" s="31" t="inlineStr">
        <is>
          <t>Strong contextual foundation</t>
        </is>
      </c>
    </row>
    <row r="3" ht="15.75" customHeight="1" s="24">
      <c r="A3" s="32" t="inlineStr">
        <is>
          <t>M2</t>
        </is>
      </c>
      <c r="B3" s="32" t="inlineStr">
        <is>
          <t>Maternal Mental Health / Sri Lanka Context</t>
        </is>
      </c>
      <c r="C3" s="32" t="inlineStr">
        <is>
          <t>(N/A — not Behavioural Track)</t>
        </is>
      </c>
      <c r="D3" s="32" t="inlineStr">
        <is>
          <t>Extracted</t>
        </is>
      </c>
      <c r="E3" s="32" t="inlineStr">
        <is>
          <t>Tier 1</t>
        </is>
      </c>
      <c r="F3" s="32" t="inlineStr">
        <is>
          <t>Yes</t>
        </is>
      </c>
      <c r="G3" s="32" t="inlineStr">
        <is>
          <t>Suraweera, C.; Perera, I.; Isuru, L.L.A.; Galhenage, J.</t>
        </is>
      </c>
      <c r="H3" s="32" t="inlineStr">
        <is>
          <t>2021</t>
        </is>
      </c>
      <c r="I3" s="32" t="inlineStr">
        <is>
          <t>Prevalence and associated factors of antenatal depression of women attending antenatal clinics in two tertiary care maternity hospitals in Sri Lanka</t>
        </is>
      </c>
      <c r="J3" s="32" t="inlineStr">
        <is>
          <t>BJPsych Open</t>
        </is>
      </c>
      <c r="K3" s="32" t="inlineStr">
        <is>
          <t>https://doi.org/10.1192/bjo.2021.776</t>
        </is>
      </c>
      <c r="L3" s="32" t="inlineStr">
        <is>
          <t>Measure antenatal depression in Colombo tertiary hospitals</t>
        </is>
      </c>
      <c r="M3" s="32" t="inlineStr">
        <is>
          <t>536 pregnant women</t>
        </is>
      </c>
      <c r="N3" s="32" t="inlineStr">
        <is>
          <t>Colombo, Sri Lanka</t>
        </is>
      </c>
      <c r="O3" s="32" t="inlineStr">
        <is>
          <t>Cross-sectional; EPDS</t>
        </is>
      </c>
      <c r="P3" s="32" t="inlineStr">
        <is>
          <t>EPDS</t>
        </is>
      </c>
      <c r="Q3" s="32" t="inlineStr">
        <is>
          <t>Questionnaire</t>
        </is>
      </c>
      <c r="R3" s="32" t="inlineStr">
        <is>
          <t>Depression prevalence</t>
        </is>
      </c>
      <c r="S3" s="32" t="inlineStr">
        <is>
          <t>EPDS</t>
        </is>
      </c>
      <c r="T3" s="32" t="inlineStr">
        <is>
          <t>33.6% screened positive</t>
        </is>
      </c>
      <c r="U3" s="32" t="inlineStr">
        <is>
          <t>Hospital-based cross-sectional study</t>
        </is>
      </c>
      <c r="V3" s="32" t="inlineStr">
        <is>
          <t>Demonstrates substantial antenatal emotional-health need</t>
        </is>
      </c>
      <c r="W3" s="32" t="inlineStr">
        <is>
          <t>Need scalable support between clinical contacts</t>
        </is>
      </c>
      <c r="X3" s="32" t="inlineStr">
        <is>
          <t>Problem justification</t>
        </is>
      </c>
      <c r="Y3" s="32" t="inlineStr"/>
    </row>
    <row r="4" ht="15.75" customHeight="1" s="24">
      <c r="A4" s="32" t="inlineStr">
        <is>
          <t>M3</t>
        </is>
      </c>
      <c r="B4" s="32" t="inlineStr">
        <is>
          <t>Maternal Mental Health / Sri Lanka Context</t>
        </is>
      </c>
      <c r="C4" s="32" t="inlineStr">
        <is>
          <t>(N/A — not Behavioural Track)</t>
        </is>
      </c>
      <c r="D4" s="32" t="inlineStr">
        <is>
          <t>Extracted</t>
        </is>
      </c>
      <c r="E4" s="32" t="inlineStr">
        <is>
          <t>Tier 1</t>
        </is>
      </c>
      <c r="F4" s="32" t="inlineStr">
        <is>
          <t>Yes</t>
        </is>
      </c>
      <c r="G4" s="32" t="inlineStr">
        <is>
          <t>Authors as listed in BMC source</t>
        </is>
      </c>
      <c r="H4" s="32" t="inlineStr">
        <is>
          <t>2021</t>
        </is>
      </c>
      <c r="I4" s="32" t="inlineStr">
        <is>
          <t>Predictors and occurrence of antenatal depressive symptoms in Galle, Sri Lanka: a mixed-methods cross-sectional study</t>
        </is>
      </c>
      <c r="J4" s="32" t="inlineStr">
        <is>
          <t>BMC Pregnancy and Childbirth</t>
        </is>
      </c>
      <c r="K4" s="32" t="inlineStr">
        <is>
          <t>https://doi.org/10.1186/s12884-021-04239-w</t>
        </is>
      </c>
      <c r="L4" s="32" t="inlineStr">
        <is>
          <t>Prevalence/risk factors and provider perspectives</t>
        </is>
      </c>
      <c r="M4" s="32" t="inlineStr">
        <is>
          <t>505 pregnant women + midwife interviews</t>
        </is>
      </c>
      <c r="N4" s="32" t="inlineStr">
        <is>
          <t>Galle, Sri Lanka</t>
        </is>
      </c>
      <c r="O4" s="32" t="inlineStr">
        <is>
          <t>Mixed methods; EPDS, MSPSS, PRAQ-R2, interviews</t>
        </is>
      </c>
      <c r="P4" s="32" t="inlineStr">
        <is>
          <t>Regression + thematic analysis</t>
        </is>
      </c>
      <c r="Q4" s="32" t="inlineStr">
        <is>
          <t>Questionnaire/interview</t>
        </is>
      </c>
      <c r="R4" s="32" t="inlineStr">
        <is>
          <t>Depressive symptoms/risk factors</t>
        </is>
      </c>
      <c r="S4" s="32" t="inlineStr">
        <is>
          <t>Prevalence, ORs</t>
        </is>
      </c>
      <c r="T4" s="32" t="inlineStr">
        <is>
          <t>7.5%; social support and health factors associated</t>
        </is>
      </c>
      <c r="U4" s="32" t="inlineStr">
        <is>
          <t>Single region</t>
        </is>
      </c>
      <c r="V4" s="32" t="inlineStr">
        <is>
          <t>Shows psychosocial/social-support context</t>
        </is>
      </c>
      <c r="W4" s="32" t="inlineStr">
        <is>
          <t>Need culturally/contextually appropriate support</t>
        </is>
      </c>
      <c r="X4" s="32" t="inlineStr">
        <is>
          <t>Supportive response context</t>
        </is>
      </c>
      <c r="Y4" s="32" t="inlineStr"/>
    </row>
    <row r="5" ht="15.75" customHeight="1" s="24">
      <c r="A5" s="32" t="inlineStr">
        <is>
          <t>M4</t>
        </is>
      </c>
      <c r="B5" s="32" t="inlineStr">
        <is>
          <t>Maternal Mental Health / Sri Lanka Context</t>
        </is>
      </c>
      <c r="C5" s="32" t="inlineStr">
        <is>
          <t>(N/A — not Behavioural Track)</t>
        </is>
      </c>
      <c r="D5" s="32" t="inlineStr">
        <is>
          <t>Extracted</t>
        </is>
      </c>
      <c r="E5" s="32" t="inlineStr">
        <is>
          <t>Tier 1</t>
        </is>
      </c>
      <c r="F5" s="32" t="inlineStr">
        <is>
          <t>Yes</t>
        </is>
      </c>
      <c r="G5" s="32" t="inlineStr">
        <is>
          <t>Palfreyman et al.</t>
        </is>
      </c>
      <c r="H5" s="32" t="inlineStr">
        <is>
          <t>2021</t>
        </is>
      </c>
      <c r="I5" s="32" t="inlineStr">
        <is>
          <t>Addressing Psychosocial Vulnerabilities Through Antenatal Care—Depression, Suicidal Ideation, and Behavior: A Study Among Urban Sri Lankan Women</t>
        </is>
      </c>
      <c r="J5" s="32" t="inlineStr">
        <is>
          <t>Frontiers in Psychiatry</t>
        </is>
      </c>
      <c r="K5" s="32" t="inlineStr">
        <is>
          <t>https://doi.org/10.3389/fpsyt.2021.554808</t>
        </is>
      </c>
      <c r="L5" s="32" t="inlineStr">
        <is>
          <t>Characterize depressive symptoms and psychosocial vulnerabilities</t>
        </is>
      </c>
      <c r="M5" s="32" t="inlineStr">
        <is>
          <t>1000 antenatal women</t>
        </is>
      </c>
      <c r="N5" s="32" t="inlineStr">
        <is>
          <t>Gampaha District, Sri Lanka</t>
        </is>
      </c>
      <c r="O5" s="32" t="inlineStr">
        <is>
          <t>Cross-sectional screening</t>
        </is>
      </c>
      <c r="P5" s="32" t="inlineStr">
        <is>
          <t>EPDS + modified C-SSRS</t>
        </is>
      </c>
      <c r="Q5" s="32" t="inlineStr">
        <is>
          <t>Questionnaire</t>
        </is>
      </c>
      <c r="R5" s="32" t="inlineStr">
        <is>
          <t>Depression/SIB risk</t>
        </is>
      </c>
      <c r="S5" s="32" t="inlineStr">
        <is>
          <t>Prevalence and regression</t>
        </is>
      </c>
      <c r="T5" s="32" t="inlineStr">
        <is>
          <t>Identified depressive symptoms and self-harm-related vulnerabilities</t>
        </is>
      </c>
      <c r="U5" s="32" t="inlineStr">
        <is>
          <t>Screening design</t>
        </is>
      </c>
      <c r="V5" s="32" t="inlineStr">
        <is>
          <t>Important safety context for an emotional-support system</t>
        </is>
      </c>
      <c r="W5" s="32" t="inlineStr">
        <is>
          <t>Digital support needs explicit escalation/safety boundaries</t>
        </is>
      </c>
      <c r="X5" s="32" t="inlineStr">
        <is>
          <t>Safety design</t>
        </is>
      </c>
      <c r="Y5" s="32" t="inlineStr"/>
    </row>
    <row r="6" ht="15.75" customHeight="1" s="24">
      <c r="A6" s="32" t="inlineStr">
        <is>
          <t>M5</t>
        </is>
      </c>
      <c r="B6" s="32" t="inlineStr">
        <is>
          <t>Maternal Mental Health / Sri Lanka Context</t>
        </is>
      </c>
      <c r="C6" s="32" t="inlineStr">
        <is>
          <t>(N/A — not Behavioural Track)</t>
        </is>
      </c>
      <c r="D6" s="32" t="inlineStr">
        <is>
          <t>Extracted</t>
        </is>
      </c>
      <c r="E6" s="32" t="inlineStr">
        <is>
          <t>Tier 1</t>
        </is>
      </c>
      <c r="F6" s="32" t="inlineStr">
        <is>
          <t>Yes</t>
        </is>
      </c>
      <c r="G6" s="32" t="inlineStr">
        <is>
          <t>Priyadarshanie et al.</t>
        </is>
      </c>
      <c r="H6" s="32" t="inlineStr">
        <is>
          <t>2024</t>
        </is>
      </c>
      <c r="I6" s="32" t="inlineStr">
        <is>
          <t>Risk factors for antenatal anxiety: a cross-sectional study in field antenatal clinics in Sri Lanka</t>
        </is>
      </c>
      <c r="J6" s="32" t="inlineStr">
        <is>
          <t>BMJ Open</t>
        </is>
      </c>
      <c r="K6" s="32" t="inlineStr">
        <is>
          <t>https://doi.org/10.1136/bmjopen-2024-083991</t>
        </is>
      </c>
      <c r="L6" s="32" t="inlineStr">
        <is>
          <t>Prevalence/factors affecting antenatal anxiety</t>
        </is>
      </c>
      <c r="M6" s="32" t="inlineStr">
        <is>
          <t>535 first-trimester women</t>
        </is>
      </c>
      <c r="N6" s="32" t="inlineStr">
        <is>
          <t>Colombo District field antenatal clinics</t>
        </is>
      </c>
      <c r="O6" s="32" t="inlineStr">
        <is>
          <t>Cross-sectional cohort analysis</t>
        </is>
      </c>
      <c r="P6" s="32" t="inlineStr">
        <is>
          <t>PASS-S + regression</t>
        </is>
      </c>
      <c r="Q6" s="32" t="inlineStr">
        <is>
          <t>Questionnaire/records</t>
        </is>
      </c>
      <c r="R6" s="32" t="inlineStr">
        <is>
          <t>Antenatal anxiety</t>
        </is>
      </c>
      <c r="S6" s="32" t="inlineStr">
        <is>
          <t>PASS threshold and adjusted ORs</t>
        </is>
      </c>
      <c r="T6" s="32" t="inlineStr">
        <is>
          <t>34.4% prevalence; multiple psychosocial/financial/family risks</t>
        </is>
      </c>
      <c r="U6" s="32" t="inlineStr">
        <is>
          <t>Observational/first-trimester sample</t>
        </is>
      </c>
      <c r="V6" s="32" t="inlineStr">
        <is>
          <t>Recent Sri Lankan anxiety evidence</t>
        </is>
      </c>
      <c r="W6" s="32" t="inlineStr">
        <is>
          <t>Need context-aware support beyond screening</t>
        </is>
      </c>
      <c r="X6" s="32" t="inlineStr">
        <is>
          <t>Use PASS-S/self-report concepts in evaluation</t>
        </is>
      </c>
      <c r="Y6" s="32" t="inlineStr"/>
    </row>
    <row r="7" ht="15.75" customHeight="1" s="24">
      <c r="A7" s="32" t="inlineStr">
        <is>
          <t>M6</t>
        </is>
      </c>
      <c r="B7" s="32" t="inlineStr">
        <is>
          <t>Maternal Mental Health / Sri Lanka Context</t>
        </is>
      </c>
      <c r="C7" s="32" t="inlineStr">
        <is>
          <t>(N/A — not Behavioural Track)</t>
        </is>
      </c>
      <c r="D7" s="32" t="inlineStr">
        <is>
          <t>Extracted</t>
        </is>
      </c>
      <c r="E7" s="32" t="inlineStr">
        <is>
          <t>Tier 1</t>
        </is>
      </c>
      <c r="F7" s="32" t="inlineStr">
        <is>
          <t>Yes</t>
        </is>
      </c>
      <c r="G7" s="32" t="inlineStr">
        <is>
          <t>Agampodi et al.</t>
        </is>
      </c>
      <c r="H7" s="32" t="inlineStr">
        <is>
          <t>2023</t>
        </is>
      </c>
      <c r="I7" s="32" t="inlineStr">
        <is>
          <t>Incorporating early pregnancy mental health screening and management into routine maternal care: experience from the Rajarata Pregnancy Cohort (RaPCo), Sri Lanka</t>
        </is>
      </c>
      <c r="J7" s="32" t="inlineStr">
        <is>
          <t>BMC</t>
        </is>
      </c>
      <c r="K7" s="32" t="inlineStr">
        <is>
          <t>https://pmc.ncbi.nlm.nih.gov/articles/PMC10533714/</t>
        </is>
      </c>
      <c r="L7" s="32" t="inlineStr">
        <is>
          <t>Integrate screening/management into routine maternal care</t>
        </is>
      </c>
      <c r="M7" s="32" t="inlineStr">
        <is>
          <t>3074 pregnant women</t>
        </is>
      </c>
      <c r="N7" s="32" t="inlineStr">
        <is>
          <t>Rajarata Pregnancy Cohort, Sri Lanka</t>
        </is>
      </c>
      <c r="O7" s="32" t="inlineStr">
        <is>
          <t>Two-stage screening + targeted interventions</t>
        </is>
      </c>
      <c r="P7" s="32" t="inlineStr">
        <is>
          <t>EPDS + clinical interview/MH GAP</t>
        </is>
      </c>
      <c r="Q7" s="32" t="inlineStr">
        <is>
          <t>Screening/interview</t>
        </is>
      </c>
      <c r="R7" s="32" t="inlineStr">
        <is>
          <t>Mental-health risk and intervention pathway</t>
        </is>
      </c>
      <c r="S7" s="32" t="inlineStr">
        <is>
          <t>Screening positivity and follow-up</t>
        </is>
      </c>
      <c r="T7" s="32" t="inlineStr">
        <is>
          <t>EPDS positive 23% first trimester, 14% second</t>
        </is>
      </c>
      <c r="U7" s="32" t="inlineStr">
        <is>
          <t>Program-specific context</t>
        </is>
      </c>
      <c r="V7" s="32" t="inlineStr">
        <is>
          <t>Shows integration with antenatal care is feasible</t>
        </is>
      </c>
      <c r="W7" s="32" t="inlineStr">
        <is>
          <t>Digital conversational support can complement screening</t>
        </is>
      </c>
      <c r="X7" s="32" t="inlineStr">
        <is>
          <t>Doctor escalation/integration model</t>
        </is>
      </c>
      <c r="Y7" s="32" t="inlineStr"/>
    </row>
    <row r="8" ht="15.75" customHeight="1" s="24">
      <c r="A8" s="32" t="inlineStr">
        <is>
          <t>A1</t>
        </is>
      </c>
      <c r="B8" s="32" t="inlineStr">
        <is>
          <t>Existing Pregnancy-Support &amp; Mental-Health Apps</t>
        </is>
      </c>
      <c r="C8" s="32" t="inlineStr">
        <is>
          <t>(N/A — not Behavioural Track)</t>
        </is>
      </c>
      <c r="D8" s="32" t="inlineStr">
        <is>
          <t>Extracted</t>
        </is>
      </c>
      <c r="E8" s="32" t="inlineStr">
        <is>
          <t>Tier 1</t>
        </is>
      </c>
      <c r="F8" s="32" t="inlineStr">
        <is>
          <t>Yes</t>
        </is>
      </c>
      <c r="G8" s="32" t="inlineStr">
        <is>
          <t>Tsai et al.</t>
        </is>
      </c>
      <c r="H8" s="32" t="inlineStr">
        <is>
          <t>2022</t>
        </is>
      </c>
      <c r="I8" s="32" t="inlineStr">
        <is>
          <t>Evaluating the effectiveness and quality of mobile applications for perinatal depression and anxiety: a systematic review and meta-analysis</t>
        </is>
      </c>
      <c r="J8" s="32" t="inlineStr">
        <is>
          <t>Journal of Affective Disorders</t>
        </is>
      </c>
      <c r="K8" s="32" t="inlineStr">
        <is>
          <t>https://doi.org/10.1016/j.jad.2021.09.106</t>
        </is>
      </c>
      <c r="L8" s="32" t="inlineStr">
        <is>
          <t>Effectiveness and quality of perinatal apps</t>
        </is>
      </c>
      <c r="M8" s="32" t="inlineStr">
        <is>
          <t>7 studies meta-analyzed; 74 app-store apps</t>
        </is>
      </c>
      <c r="N8" s="32" t="inlineStr">
        <is>
          <t>Perinatal women/apps</t>
        </is>
      </c>
      <c r="O8" s="32" t="inlineStr">
        <is>
          <t>Systematic review/meta-analysis + MARS</t>
        </is>
      </c>
      <c r="P8" s="32" t="inlineStr">
        <is>
          <t>MARS</t>
        </is>
      </c>
      <c r="Q8" s="32" t="inlineStr">
        <is>
          <t>Mobile apps</t>
        </is>
      </c>
      <c r="R8" s="32" t="inlineStr">
        <is>
          <t>Depression/anxiety outcomes</t>
        </is>
      </c>
      <c r="S8" s="32" t="inlineStr">
        <is>
          <t>SMD; MARS</t>
        </is>
      </c>
      <c r="T8" s="32" t="inlineStr">
        <is>
          <t>No significant short-term depression/anxiety improvement; mean MARS 3.6/5</t>
        </is>
      </c>
      <c r="U8" s="32" t="inlineStr">
        <is>
          <t>Few clinically tested apps</t>
        </is>
      </c>
      <c r="V8" s="32" t="inlineStr">
        <is>
          <t>Shows quality/evidence gap in existing apps</t>
        </is>
      </c>
      <c r="W8" s="32" t="inlineStr">
        <is>
          <t>Need stronger evidence and adaptive support</t>
        </is>
      </c>
      <c r="X8" s="32" t="inlineStr">
        <is>
          <t>MARS-style quality evaluation</t>
        </is>
      </c>
      <c r="Y8" s="32" t="inlineStr"/>
    </row>
    <row r="9" ht="15.75" customHeight="1" s="24">
      <c r="A9" s="32" t="inlineStr">
        <is>
          <t>A2</t>
        </is>
      </c>
      <c r="B9" s="32" t="inlineStr">
        <is>
          <t>Existing Pregnancy-Support &amp; Mental-Health Apps</t>
        </is>
      </c>
      <c r="C9" s="32" t="inlineStr">
        <is>
          <t>(N/A — not Behavioural Track)</t>
        </is>
      </c>
      <c r="D9" s="32" t="inlineStr">
        <is>
          <t>Extracted</t>
        </is>
      </c>
      <c r="E9" s="32" t="inlineStr">
        <is>
          <t>Tier 1</t>
        </is>
      </c>
      <c r="F9" s="32" t="inlineStr">
        <is>
          <t>Yes</t>
        </is>
      </c>
      <c r="G9" s="32" t="inlineStr">
        <is>
          <t>Hussain-Shamsy et al.</t>
        </is>
      </c>
      <c r="H9" s="32" t="inlineStr">
        <is>
          <t>2020</t>
        </is>
      </c>
      <c r="I9" s="32" t="inlineStr">
        <is>
          <t>Mobile Health for Perinatal Depression and Anxiety: Scoping Review</t>
        </is>
      </c>
      <c r="J9" s="32" t="inlineStr">
        <is>
          <t>JMIR</t>
        </is>
      </c>
      <c r="K9" s="32" t="inlineStr">
        <is>
          <t>https://pubmed.ncbi.nlm.nih.gov/32281939/</t>
        </is>
      </c>
      <c r="L9" s="32" t="inlineStr">
        <is>
          <t>Map mobile tools for perinatal depression/anxiety</t>
        </is>
      </c>
      <c r="M9" s="32" t="inlineStr">
        <is>
          <t>22 unique studies</t>
        </is>
      </c>
      <c r="N9" s="32" t="inlineStr">
        <is>
          <t>Pregnant/postpartum women</t>
        </is>
      </c>
      <c r="O9" s="32" t="inlineStr">
        <is>
          <t>Scoping review</t>
        </is>
      </c>
      <c r="P9" s="32" t="inlineStr">
        <is>
          <t>Review synthesis</t>
        </is>
      </c>
      <c r="Q9" s="32" t="inlineStr">
        <is>
          <t>Apps/SMS</t>
        </is>
      </c>
      <c r="R9" s="32" t="inlineStr">
        <is>
          <t>Prevention/screening/treatment</t>
        </is>
      </c>
      <c r="S9" s="32" t="inlineStr">
        <is>
          <t>Descriptive synthesis</t>
        </is>
      </c>
      <c r="T9" s="32" t="inlineStr">
        <is>
          <t>Apps 54%; SMS 45%; psychoeducation common</t>
        </is>
      </c>
      <c r="U9" s="32" t="inlineStr">
        <is>
          <t>Limited continuity/sustainability evidence</t>
        </is>
      </c>
      <c r="V9" s="32" t="inlineStr">
        <is>
          <t>Positions current mHealth landscape</t>
        </is>
      </c>
      <c r="W9" s="32" t="inlineStr">
        <is>
          <t>Few tools combine conversational support with passive mood inference</t>
        </is>
      </c>
      <c r="X9" s="32" t="inlineStr">
        <is>
          <t>Existing-system taxonomy</t>
        </is>
      </c>
      <c r="Y9" s="32" t="inlineStr"/>
    </row>
    <row r="10" ht="15.75" customHeight="1" s="24">
      <c r="A10" s="32" t="inlineStr">
        <is>
          <t>A3</t>
        </is>
      </c>
      <c r="B10" s="32" t="inlineStr">
        <is>
          <t>Existing Pregnancy-Support &amp; Mental-Health Apps</t>
        </is>
      </c>
      <c r="C10" s="32" t="inlineStr">
        <is>
          <t>(N/A — not Behavioural Track)</t>
        </is>
      </c>
      <c r="D10" s="32" t="inlineStr">
        <is>
          <t>Extracted</t>
        </is>
      </c>
      <c r="E10" s="32" t="inlineStr">
        <is>
          <t>Tier 1</t>
        </is>
      </c>
      <c r="F10" s="32" t="inlineStr">
        <is>
          <t>Yes</t>
        </is>
      </c>
      <c r="G10" s="32" t="inlineStr">
        <is>
          <t>Arifin et al.</t>
        </is>
      </c>
      <c r="H10" s="32" t="inlineStr">
        <is>
          <t>2024</t>
        </is>
      </c>
      <c r="I10" s="32" t="inlineStr">
        <is>
          <t>An evaluation of digital intervention for perinatal depression and anxiety: A systematic review</t>
        </is>
      </c>
      <c r="J10" s="32" t="inlineStr">
        <is>
          <t>AIMS Public Health</t>
        </is>
      </c>
      <c r="K10" s="32" t="inlineStr">
        <is>
          <t>https://doi.org/10.3934/publichealth.2024025</t>
        </is>
      </c>
      <c r="L10" s="32" t="inlineStr">
        <is>
          <t>Review design characteristics of digital perinatal interventions</t>
        </is>
      </c>
      <c r="M10" s="32" t="inlineStr">
        <is>
          <t>12 intervention studies</t>
        </is>
      </c>
      <c r="N10" s="32" t="inlineStr">
        <is>
          <t>Perinatal women</t>
        </is>
      </c>
      <c r="O10" s="32" t="inlineStr">
        <is>
          <t>PRISMA systematic review</t>
        </is>
      </c>
      <c r="P10" s="32" t="inlineStr">
        <is>
          <t>Narrative synthesis</t>
        </is>
      </c>
      <c r="Q10" s="32" t="inlineStr">
        <is>
          <t>Digital CBT/mindfulness</t>
        </is>
      </c>
      <c r="R10" s="32" t="inlineStr">
        <is>
          <t>Depression/anxiety</t>
        </is>
      </c>
      <c r="S10" s="32" t="inlineStr">
        <is>
          <t>Study outcomes</t>
        </is>
      </c>
      <c r="T10" s="32" t="inlineStr">
        <is>
          <t>CBT and mindfulness dominated; reduced depressive symptoms reported</t>
        </is>
      </c>
      <c r="U10" s="32" t="inlineStr">
        <is>
          <t>Only one study included partner support; heterogeneous designs</t>
        </is>
      </c>
      <c r="V10" s="32" t="inlineStr">
        <is>
          <t>Supports intervention-design considerations</t>
        </is>
      </c>
      <c r="W10" s="32" t="inlineStr">
        <is>
          <t>Need personalized and culturally localized approaches</t>
        </is>
      </c>
      <c r="X10" s="32" t="inlineStr">
        <is>
          <t>Content strategy</t>
        </is>
      </c>
      <c r="Y10" s="32" t="inlineStr"/>
    </row>
    <row r="11" ht="15.75" customHeight="1" s="24">
      <c r="A11" s="32" t="inlineStr">
        <is>
          <t>A4</t>
        </is>
      </c>
      <c r="B11" s="32" t="inlineStr">
        <is>
          <t>Existing Pregnancy-Support &amp; Mental-Health Apps</t>
        </is>
      </c>
      <c r="C11" s="32" t="inlineStr">
        <is>
          <t>(N/A — not Behavioural Track)</t>
        </is>
      </c>
      <c r="D11" s="32" t="inlineStr">
        <is>
          <t>Extracted</t>
        </is>
      </c>
      <c r="E11" s="32" t="inlineStr">
        <is>
          <t>Tier 1</t>
        </is>
      </c>
      <c r="F11" s="32" t="inlineStr">
        <is>
          <t>Yes</t>
        </is>
      </c>
      <c r="G11" s="32" t="inlineStr">
        <is>
          <t>Hussain et al.</t>
        </is>
      </c>
      <c r="H11" s="32" t="inlineStr">
        <is>
          <t>2018</t>
        </is>
      </c>
      <c r="I11" s="32" t="inlineStr">
        <is>
          <t>User assessments and the use of information from MomConnect, a mobile phone text-based information service, by pregnant women and new mothers in South Africa</t>
        </is>
      </c>
      <c r="J11" s="32" t="inlineStr">
        <is>
          <t>BMJ Global Health</t>
        </is>
      </c>
      <c r="K11" s="32" t="inlineStr">
        <is>
          <t>https://doi.org/10.1136/bmjgh-2017-000561</t>
        </is>
      </c>
      <c r="L11" s="32" t="inlineStr">
        <is>
          <t>Understand acceptability/use of maternal mobile messaging</t>
        </is>
      </c>
      <c r="M11" s="32" t="inlineStr">
        <is>
          <t>32 interviews + 7 focus groups</t>
        </is>
      </c>
      <c r="N11" s="32" t="inlineStr">
        <is>
          <t>Pregnant/new mothers, South Africa</t>
        </is>
      </c>
      <c r="O11" s="32" t="inlineStr">
        <is>
          <t>Qualitative evaluation</t>
        </is>
      </c>
      <c r="P11" s="32" t="inlineStr">
        <is>
          <t>Thematic analysis</t>
        </is>
      </c>
      <c r="Q11" s="32" t="inlineStr">
        <is>
          <t>SMS/mobile helpdesk</t>
        </is>
      </c>
      <c r="R11" s="32" t="inlineStr">
        <is>
          <t>User acceptability</t>
        </is>
      </c>
      <c r="S11" s="32" t="inlineStr">
        <is>
          <t>Qualitative themes</t>
        </is>
      </c>
      <c r="T11" s="32" t="inlineStr">
        <is>
          <t>Women valued content and delivery medium</t>
        </is>
      </c>
      <c r="U11" s="32" t="inlineStr">
        <is>
          <t>South Africa-specific</t>
        </is>
      </c>
      <c r="V11" s="32" t="inlineStr">
        <is>
          <t>Evidence that maternal mobile support can be accepted</t>
        </is>
      </c>
      <c r="W11" s="32" t="inlineStr">
        <is>
          <t>Need emotional/adaptive functionality</t>
        </is>
      </c>
      <c r="X11" s="32" t="inlineStr">
        <is>
          <t>Accessibility/usability principles</t>
        </is>
      </c>
      <c r="Y11" s="32" t="inlineStr"/>
    </row>
    <row r="12" ht="15.75" customHeight="1" s="24">
      <c r="A12" s="32" t="inlineStr">
        <is>
          <t>C1</t>
        </is>
      </c>
      <c r="B12" s="32" t="inlineStr">
        <is>
          <t>Conversational Agents for Mental Health</t>
        </is>
      </c>
      <c r="C12" s="32" t="inlineStr">
        <is>
          <t>(N/A — not Behavioural Track)</t>
        </is>
      </c>
      <c r="D12" s="32" t="inlineStr">
        <is>
          <t>Extracted</t>
        </is>
      </c>
      <c r="E12" s="32" t="inlineStr">
        <is>
          <t>Tier 1</t>
        </is>
      </c>
      <c r="F12" s="32" t="inlineStr">
        <is>
          <t>Yes</t>
        </is>
      </c>
      <c r="G12" s="32" t="inlineStr">
        <is>
          <t>Li et al.</t>
        </is>
      </c>
      <c r="H12" s="32" t="inlineStr">
        <is>
          <t>2023</t>
        </is>
      </c>
      <c r="I12" s="32" t="inlineStr">
        <is>
          <t>Systematic review and meta-analysis of AI-based conversational agents for promoting mental health and well-being</t>
        </is>
      </c>
      <c r="J12" s="32" t="inlineStr">
        <is>
          <t>npj Digital Medicine</t>
        </is>
      </c>
      <c r="K12" s="32" t="inlineStr">
        <is>
          <t>https://doi.org/10.1038/s41746-023-00979-5</t>
        </is>
      </c>
      <c r="L12" s="32" t="inlineStr">
        <is>
          <t>Effectiveness of AI conversational agents</t>
        </is>
      </c>
      <c r="M12" s="32" t="inlineStr">
        <is>
          <t>35 studies; 15 RCTs</t>
        </is>
      </c>
      <c r="N12" s="32" t="inlineStr">
        <is>
          <t>Mental-health populations</t>
        </is>
      </c>
      <c r="O12" s="32" t="inlineStr">
        <is>
          <t>Systematic review/meta-analysis</t>
        </is>
      </c>
      <c r="P12" s="32" t="inlineStr">
        <is>
          <t>AI CAs</t>
        </is>
      </c>
      <c r="Q12" s="32" t="inlineStr">
        <is>
          <t>Text/multimodal</t>
        </is>
      </c>
      <c r="R12" s="32" t="inlineStr">
        <is>
          <t>Depression/distress/wellbeing</t>
        </is>
      </c>
      <c r="S12" s="32" t="inlineStr">
        <is>
          <t>Hedges g</t>
        </is>
      </c>
      <c r="T12" s="32" t="inlineStr">
        <is>
          <t>Depression g=0.64; distress g=0.70; wellbeing nonsignificant</t>
        </is>
      </c>
      <c r="U12" s="32" t="inlineStr">
        <is>
          <t>Heterogeneity</t>
        </is>
      </c>
      <c r="V12" s="32" t="inlineStr">
        <is>
          <t>Supports CA potential but cautions against overclaiming wellbeing</t>
        </is>
      </c>
      <c r="W12" s="32" t="inlineStr">
        <is>
          <t>Need context-specific, adaptive systems</t>
        </is>
      </c>
      <c r="X12" s="32" t="inlineStr">
        <is>
          <t>Evaluation/moderators</t>
        </is>
      </c>
      <c r="Y12" s="32" t="inlineStr"/>
    </row>
    <row r="13" ht="15.75" customHeight="1" s="24">
      <c r="A13" s="32" t="inlineStr">
        <is>
          <t>C2</t>
        </is>
      </c>
      <c r="B13" s="32" t="inlineStr">
        <is>
          <t>Conversational Agents for Mental Health</t>
        </is>
      </c>
      <c r="C13" s="32" t="inlineStr">
        <is>
          <t>(N/A — not Behavioural Track)</t>
        </is>
      </c>
      <c r="D13" s="32" t="inlineStr">
        <is>
          <t>Extracted</t>
        </is>
      </c>
      <c r="E13" s="32" t="inlineStr">
        <is>
          <t>Tier 1</t>
        </is>
      </c>
      <c r="F13" s="32" t="inlineStr">
        <is>
          <t>Yes</t>
        </is>
      </c>
      <c r="G13" s="32" t="inlineStr">
        <is>
          <t>He et al.</t>
        </is>
      </c>
      <c r="H13" s="32" t="inlineStr">
        <is>
          <t>2023</t>
        </is>
      </c>
      <c r="I13" s="32" t="inlineStr">
        <is>
          <t>Conversational Agent Interventions for Mental Health Problems: Systematic Review and Meta-analysis of Randomized Controlled Trials</t>
        </is>
      </c>
      <c r="J13" s="32" t="inlineStr">
        <is>
          <t>JMIR Mental Health</t>
        </is>
      </c>
      <c r="K13" s="32" t="inlineStr">
        <is>
          <t>https://doi.org/10.2196/43862</t>
        </is>
      </c>
      <c r="L13" s="32" t="inlineStr">
        <is>
          <t>Effectiveness and moderators of CA interventions</t>
        </is>
      </c>
      <c r="M13" s="32" t="inlineStr">
        <is>
          <t>RCTs in systematic review</t>
        </is>
      </c>
      <c r="N13" s="32" t="inlineStr">
        <is>
          <t>Mental health populations</t>
        </is>
      </c>
      <c r="O13" s="32" t="inlineStr">
        <is>
          <t>Systematic review/meta-analysis</t>
        </is>
      </c>
      <c r="P13" s="32" t="inlineStr">
        <is>
          <t>Conversational agents</t>
        </is>
      </c>
      <c r="Q13" s="32" t="inlineStr">
        <is>
          <t>Conversational</t>
        </is>
      </c>
      <c r="R13" s="32" t="inlineStr">
        <is>
          <t>Mental health outcomes</t>
        </is>
      </c>
      <c r="S13" s="32" t="inlineStr">
        <is>
          <t>Effect sizes/moderators</t>
        </is>
      </c>
      <c r="T13" s="32" t="inlineStr">
        <is>
          <t>Personalization and empathic response associated with larger effects</t>
        </is>
      </c>
      <c r="U13" s="32" t="inlineStr">
        <is>
          <t>Long-term effects less consistent</t>
        </is>
      </c>
      <c r="V13" s="32" t="inlineStr">
        <is>
          <t>Strong justification for adaptive/empathic responses</t>
        </is>
      </c>
      <c r="W13" s="32" t="inlineStr">
        <is>
          <t>Need objective mood-adaptation mechanisms</t>
        </is>
      </c>
      <c r="X13" s="32" t="inlineStr">
        <is>
          <t>Personalization/empathy</t>
        </is>
      </c>
      <c r="Y13" s="32" t="inlineStr"/>
    </row>
    <row r="14" ht="15.75" customHeight="1" s="24">
      <c r="A14" s="32" t="inlineStr">
        <is>
          <t>C3</t>
        </is>
      </c>
      <c r="B14" s="32" t="inlineStr">
        <is>
          <t>Conversational Agents for Mental Health</t>
        </is>
      </c>
      <c r="C14" s="32" t="inlineStr">
        <is>
          <t>(N/A — not Behavioural Track)</t>
        </is>
      </c>
      <c r="D14" s="32" t="inlineStr">
        <is>
          <t>Extracted</t>
        </is>
      </c>
      <c r="E14" s="32" t="inlineStr">
        <is>
          <t>Tier 1</t>
        </is>
      </c>
      <c r="F14" s="32" t="inlineStr">
        <is>
          <t>Yes</t>
        </is>
      </c>
      <c r="G14" s="32" t="inlineStr">
        <is>
          <t>Sanjeewa et al.</t>
        </is>
      </c>
      <c r="H14" s="32" t="inlineStr">
        <is>
          <t>2024</t>
        </is>
      </c>
      <c r="I14" s="32" t="inlineStr">
        <is>
          <t>Empathic Conversational Agent Platform Designs and Their Evaluation in the Context of Mental Health: Systematic Review</t>
        </is>
      </c>
      <c r="J14" s="32" t="inlineStr">
        <is>
          <t>JMIR Mental Health</t>
        </is>
      </c>
      <c r="K14" s="32" t="inlineStr">
        <is>
          <t>https://doi.org/10.2196/50701</t>
        </is>
      </c>
      <c r="L14" s="32" t="inlineStr">
        <is>
          <t>Architectures/evaluation of empathic CAs</t>
        </is>
      </c>
      <c r="M14" s="32" t="inlineStr">
        <is>
          <t>19 articles</t>
        </is>
      </c>
      <c r="N14" s="32" t="inlineStr">
        <is>
          <t>Mental health CAs</t>
        </is>
      </c>
      <c r="O14" s="32" t="inlineStr">
        <is>
          <t>Systematic review</t>
        </is>
      </c>
      <c r="P14" s="32" t="inlineStr">
        <is>
          <t>ML/hybrid/rule CAs</t>
        </is>
      </c>
      <c r="Q14" s="32" t="inlineStr">
        <is>
          <t>Text/voice</t>
        </is>
      </c>
      <c r="R14" s="32" t="inlineStr">
        <is>
          <t>Emotion/empathy</t>
        </is>
      </c>
      <c r="S14" s="32" t="inlineStr">
        <is>
          <t>Technical + human evaluation</t>
        </is>
      </c>
      <c r="T14" s="32" t="inlineStr">
        <is>
          <t>63% ML; hybrid often more nuanced; 84% human evaluation</t>
        </is>
      </c>
      <c r="U14" s="32" t="inlineStr">
        <is>
          <t>Only 26% directly evaluated empathy; metrics vary</t>
        </is>
      </c>
      <c r="V14" s="32" t="inlineStr">
        <is>
          <t>Directly informs architecture/evaluation</t>
        </is>
      </c>
      <c r="W14" s="32" t="inlineStr">
        <is>
          <t>Need standardized empathy and emotion evaluation</t>
        </is>
      </c>
      <c r="X14" s="32" t="inlineStr">
        <is>
          <t>Human evaluation</t>
        </is>
      </c>
      <c r="Y14" s="32" t="inlineStr"/>
    </row>
    <row r="15" ht="15.75" customHeight="1" s="24">
      <c r="A15" s="32" t="inlineStr">
        <is>
          <t>C4</t>
        </is>
      </c>
      <c r="B15" s="32" t="inlineStr">
        <is>
          <t>Conversational Agents for Mental Health</t>
        </is>
      </c>
      <c r="C15" s="32" t="inlineStr">
        <is>
          <t>(N/A — not Behavioural Track)</t>
        </is>
      </c>
      <c r="D15" s="32" t="inlineStr">
        <is>
          <t>Extracted</t>
        </is>
      </c>
      <c r="E15" s="32" t="inlineStr">
        <is>
          <t>Tier 1</t>
        </is>
      </c>
      <c r="F15" s="32" t="inlineStr">
        <is>
          <t>Yes</t>
        </is>
      </c>
      <c r="G15" s="32" t="inlineStr">
        <is>
          <t>Morris et al.</t>
        </is>
      </c>
      <c r="H15" s="32" t="inlineStr">
        <is>
          <t>2018</t>
        </is>
      </c>
      <c r="I15" s="32" t="inlineStr">
        <is>
          <t>Towards an Artificially Empathic Conversational Agent for Mental Health Applications: System Design and User Perceptions</t>
        </is>
      </c>
      <c r="J15" s="32" t="inlineStr">
        <is>
          <t>JMIR</t>
        </is>
      </c>
      <c r="K15" s="32" t="inlineStr">
        <is>
          <t>https://doi.org/10.2196/e10148</t>
        </is>
      </c>
      <c r="L15" s="32" t="inlineStr">
        <is>
          <t>Design and assess empathic responses</t>
        </is>
      </c>
      <c r="M15" s="32" t="inlineStr">
        <is>
          <t>37,169 ratings; controlled N=1284</t>
        </is>
      </c>
      <c r="N15" s="32" t="inlineStr">
        <is>
          <t>Online mental-health support</t>
        </is>
      </c>
      <c r="O15" s="32" t="inlineStr">
        <is>
          <t>Retrieval + embeddings + user evaluation</t>
        </is>
      </c>
      <c r="P15" s="32" t="inlineStr">
        <is>
          <t>Information retrieval/embeddings</t>
        </is>
      </c>
      <c r="Q15" s="32" t="inlineStr">
        <is>
          <t>Text</t>
        </is>
      </c>
      <c r="R15" s="32" t="inlineStr">
        <is>
          <t>Empathy acceptability</t>
        </is>
      </c>
      <c r="S15" s="32" t="inlineStr">
        <is>
          <t>User ratings</t>
        </is>
      </c>
      <c r="T15" s="32" t="inlineStr">
        <is>
          <t>79.2% responses deemed acceptable; human-framed responses preferred</t>
        </is>
      </c>
      <c r="U15" s="32" t="inlineStr">
        <is>
          <t>Nonhuman empathy limitations</t>
        </is>
      </c>
      <c r="V15" s="32" t="inlineStr">
        <is>
          <t>Supports careful tone claims</t>
        </is>
      </c>
      <c r="W15" s="32" t="inlineStr">
        <is>
          <t>Need reliable emotion-conditioned response</t>
        </is>
      </c>
      <c r="X15" s="32" t="inlineStr">
        <is>
          <t>User perception testing</t>
        </is>
      </c>
      <c r="Y15" s="32" t="inlineStr"/>
    </row>
    <row r="16" ht="15.75" customHeight="1" s="24">
      <c r="A16" s="32" t="inlineStr">
        <is>
          <t>C5</t>
        </is>
      </c>
      <c r="B16" s="32" t="inlineStr">
        <is>
          <t>Conversational Agents for Mental Health</t>
        </is>
      </c>
      <c r="C16" s="32" t="inlineStr">
        <is>
          <t>(N/A — not Behavioural Track)</t>
        </is>
      </c>
      <c r="D16" s="32" t="inlineStr">
        <is>
          <t>Extracted</t>
        </is>
      </c>
      <c r="E16" s="32" t="inlineStr">
        <is>
          <t>Tier 1</t>
        </is>
      </c>
      <c r="F16" s="32" t="inlineStr">
        <is>
          <t>Yes</t>
        </is>
      </c>
      <c r="G16" s="32" t="inlineStr">
        <is>
          <t>Fitzpatrick et al.</t>
        </is>
      </c>
      <c r="H16" s="32" t="inlineStr">
        <is>
          <t>2017</t>
        </is>
      </c>
      <c r="I16" s="32" t="inlineStr">
        <is>
          <t>Delivering Cognitive Behavior Therapy to Young Adults With Symptoms of Depression and Anxiety Using a Fully Automated Conversational Agent (Woebot): A Randomized Controlled Trial</t>
        </is>
      </c>
      <c r="J16" s="32" t="inlineStr">
        <is>
          <t>JMIR Mental Health</t>
        </is>
      </c>
      <c r="K16" s="32" t="inlineStr">
        <is>
          <t>https://doi.org/10.2196/mental.7785</t>
        </is>
      </c>
      <c r="L16" s="32" t="inlineStr">
        <is>
          <t>Feasibility/efficacy of automated CBT chatbot</t>
        </is>
      </c>
      <c r="M16" s="32" t="inlineStr">
        <is>
          <t>70 young adults</t>
        </is>
      </c>
      <c r="N16" s="32" t="inlineStr">
        <is>
          <t>College students</t>
        </is>
      </c>
      <c r="O16" s="32" t="inlineStr">
        <is>
          <t>Unblinded RCT</t>
        </is>
      </c>
      <c r="P16" s="32" t="inlineStr">
        <is>
          <t>Woebot CBT agent</t>
        </is>
      </c>
      <c r="Q16" s="32" t="inlineStr">
        <is>
          <t>Text chatbot</t>
        </is>
      </c>
      <c r="R16" s="32" t="inlineStr">
        <is>
          <t>Depression/anxiety</t>
        </is>
      </c>
      <c r="S16" s="32" t="inlineStr">
        <is>
          <t>PHQ-9/GAD-7</t>
        </is>
      </c>
      <c r="T16" s="32" t="inlineStr">
        <is>
          <t>Significant depression reduction vs information control</t>
        </is>
      </c>
      <c r="U16" s="32" t="inlineStr">
        <is>
          <t>Small, short study</t>
        </is>
      </c>
      <c r="V16" s="32" t="inlineStr">
        <is>
          <t>Existing benchmark for mental-health chatbot</t>
        </is>
      </c>
      <c r="W16" s="32" t="inlineStr">
        <is>
          <t>Not pregnancy-specific or multimodal</t>
        </is>
      </c>
      <c r="X16" s="32" t="inlineStr">
        <is>
          <t>Evaluation design</t>
        </is>
      </c>
      <c r="Y16" s="32" t="inlineStr"/>
    </row>
    <row r="17" ht="15.75" customHeight="1" s="24">
      <c r="A17" s="32" t="inlineStr">
        <is>
          <t>C6</t>
        </is>
      </c>
      <c r="B17" s="32" t="inlineStr">
        <is>
          <t>Conversational Agents for Mental Health</t>
        </is>
      </c>
      <c r="C17" s="32" t="inlineStr">
        <is>
          <t>(N/A — not Behavioural Track)</t>
        </is>
      </c>
      <c r="D17" s="32" t="inlineStr">
        <is>
          <t>Extracted</t>
        </is>
      </c>
      <c r="E17" s="32" t="inlineStr">
        <is>
          <t>Tier 1</t>
        </is>
      </c>
      <c r="F17" s="32" t="inlineStr">
        <is>
          <t>Yes</t>
        </is>
      </c>
      <c r="G17" s="32" t="inlineStr">
        <is>
          <t>McAlister et al.</t>
        </is>
      </c>
      <c r="H17" s="32" t="inlineStr">
        <is>
          <t>2025</t>
        </is>
      </c>
      <c r="I17" s="32" t="inlineStr">
        <is>
          <t>Chatbot to Support the Mental Health Needs of Pregnant and Postpartum Women (Moment for Parents): Design and Pilot Study</t>
        </is>
      </c>
      <c r="J17" s="32" t="inlineStr">
        <is>
          <t>JMIR Formative Research</t>
        </is>
      </c>
      <c r="K17" s="32" t="inlineStr">
        <is>
          <t>https://pubmed.ncbi.nlm.nih.gov/40202166/</t>
        </is>
      </c>
      <c r="L17" s="32" t="inlineStr">
        <is>
          <t>Tailored perinatal mental-health chatbot</t>
        </is>
      </c>
      <c r="M17" s="32" t="inlineStr">
        <is>
          <t>43 interviews; 108 pilot users</t>
        </is>
      </c>
      <c r="N17" s="32" t="inlineStr">
        <is>
          <t>Pregnant/postpartum women</t>
        </is>
      </c>
      <c r="O17" s="32" t="inlineStr">
        <is>
          <t>Human-centered design + pilot</t>
        </is>
      </c>
      <c r="P17" s="32" t="inlineStr">
        <is>
          <t>Rules-based chatbot</t>
        </is>
      </c>
      <c r="Q17" s="32" t="inlineStr">
        <is>
          <t>Text</t>
        </is>
      </c>
      <c r="R17" s="32" t="inlineStr">
        <is>
          <t>Perinatal support</t>
        </is>
      </c>
      <c r="S17" s="32" t="inlineStr">
        <is>
          <t>Re-engagement/usability/satisfaction</t>
        </is>
      </c>
      <c r="T17" s="32" t="inlineStr">
        <is>
          <t>63.9% re-engaged; 93.3% found relevant</t>
        </is>
      </c>
      <c r="U17" s="32" t="inlineStr">
        <is>
          <t>Repetitive content; limited response options</t>
        </is>
      </c>
      <c r="V17" s="32" t="inlineStr">
        <is>
          <t>Closest direct comparator</t>
        </is>
      </c>
      <c r="W17" s="32" t="inlineStr">
        <is>
          <t>No multimodal mood inference; not Sinhala/Sri Lanka</t>
        </is>
      </c>
      <c r="X17" s="32" t="inlineStr">
        <is>
          <t>User-centered content design</t>
        </is>
      </c>
      <c r="Y17" s="32" t="inlineStr">
        <is>
          <t>Key existing system</t>
        </is>
      </c>
    </row>
    <row r="18" ht="15.75" customHeight="1" s="24">
      <c r="A18" s="32" t="inlineStr">
        <is>
          <t>F1</t>
        </is>
      </c>
      <c r="B18" s="32" t="inlineStr">
        <is>
          <t>Facial Emotion Recognition (incl. Head-Pose)</t>
        </is>
      </c>
      <c r="C18" s="32" t="inlineStr">
        <is>
          <t>(N/A — not Behavioural Track)</t>
        </is>
      </c>
      <c r="D18" s="32" t="inlineStr">
        <is>
          <t>Extracted</t>
        </is>
      </c>
      <c r="E18" s="32" t="inlineStr">
        <is>
          <t>Tier 1</t>
        </is>
      </c>
      <c r="F18" s="32" t="inlineStr">
        <is>
          <t>Yes</t>
        </is>
      </c>
      <c r="G18" s="32" t="inlineStr">
        <is>
          <t>Survey authors (see source)</t>
        </is>
      </c>
      <c r="H18" s="32" t="inlineStr">
        <is>
          <t>2019</t>
        </is>
      </c>
      <c r="I18" s="32" t="inlineStr">
        <is>
          <t>Facial Expression Recognition: A Survey</t>
        </is>
      </c>
      <c r="J18" s="32" t="inlineStr">
        <is>
          <t>Symmetry</t>
        </is>
      </c>
      <c r="K18" s="32" t="inlineStr">
        <is>
          <t>https://doi.org/10.3390/sym11101189</t>
        </is>
      </c>
      <c r="L18" s="32" t="inlineStr">
        <is>
          <t>Survey FER methods, datasets, evaluation</t>
        </is>
      </c>
      <c r="M18" s="32" t="inlineStr">
        <is>
          <t>17 datasets reviewed</t>
        </is>
      </c>
      <c r="N18" s="32" t="inlineStr">
        <is>
          <t>FER research</t>
        </is>
      </c>
      <c r="O18" s="32" t="inlineStr">
        <is>
          <t>Survey</t>
        </is>
      </c>
      <c r="P18" s="32" t="inlineStr">
        <is>
          <t>CNN/deep learning taxonomy</t>
        </is>
      </c>
      <c r="Q18" s="32" t="inlineStr">
        <is>
          <t>Face</t>
        </is>
      </c>
      <c r="R18" s="32" t="inlineStr">
        <is>
          <t>Emotion classes</t>
        </is>
      </c>
      <c r="S18" s="32" t="inlineStr">
        <is>
          <t>Surveyed metrics</t>
        </is>
      </c>
      <c r="T18" s="32" t="inlineStr">
        <is>
          <t>Summarizes methods/datasets/challenges</t>
        </is>
      </c>
      <c r="U18" s="32" t="inlineStr">
        <is>
          <t>Older survey</t>
        </is>
      </c>
      <c r="V18" s="32" t="inlineStr">
        <is>
          <t>FER foundations</t>
        </is>
      </c>
      <c r="W18" s="32" t="inlineStr">
        <is>
          <t>Real-world robustness remains</t>
        </is>
      </c>
      <c r="X18" s="32" t="inlineStr">
        <is>
          <t>Dataset/metric selection</t>
        </is>
      </c>
      <c r="Y18" s="32" t="inlineStr"/>
    </row>
    <row r="19" ht="15.75" customHeight="1" s="24">
      <c r="A19" s="32" t="inlineStr">
        <is>
          <t>F2</t>
        </is>
      </c>
      <c r="B19" s="32" t="inlineStr">
        <is>
          <t>Facial Emotion Recognition (incl. Head-Pose)</t>
        </is>
      </c>
      <c r="C19" s="32" t="inlineStr">
        <is>
          <t>(N/A — not Behavioural Track)</t>
        </is>
      </c>
      <c r="D19" s="32" t="inlineStr">
        <is>
          <t>Extracted</t>
        </is>
      </c>
      <c r="E19" s="32" t="inlineStr">
        <is>
          <t>Tier 1</t>
        </is>
      </c>
      <c r="F19" s="32" t="inlineStr">
        <is>
          <t>Yes</t>
        </is>
      </c>
      <c r="G19" s="32" t="inlineStr">
        <is>
          <t>Mollahosseini, A.; Hasani, B.; Mahoor, M.H.</t>
        </is>
      </c>
      <c r="H19" s="32" t="inlineStr">
        <is>
          <t>2019</t>
        </is>
      </c>
      <c r="I19" s="32" t="inlineStr">
        <is>
          <t>AffectNet: A Database for Facial Expression, Valence, and Arousal Computing in the Wild</t>
        </is>
      </c>
      <c r="J19" s="32" t="inlineStr">
        <is>
          <t>IEEE Transactions on Affective Computing</t>
        </is>
      </c>
      <c r="K19" s="32" t="inlineStr">
        <is>
          <t>https://doi.org/10.1109/TAFFC.2017.2740923</t>
        </is>
      </c>
      <c r="L19" s="32" t="inlineStr">
        <is>
          <t>Large in-the-wild affect dataset</t>
        </is>
      </c>
      <c r="M19" s="32" t="inlineStr">
        <is>
          <t>&gt;1M images; about half manually annotated</t>
        </is>
      </c>
      <c r="N19" s="32" t="inlineStr">
        <is>
          <t>Web-scraped diverse faces</t>
        </is>
      </c>
      <c r="O19" s="32" t="inlineStr">
        <is>
          <t>Dataset + CNN baselines</t>
        </is>
      </c>
      <c r="P19" s="32" t="inlineStr">
        <is>
          <t>CNN</t>
        </is>
      </c>
      <c r="Q19" s="32" t="inlineStr">
        <is>
          <t>Face</t>
        </is>
      </c>
      <c r="R19" s="32" t="inlineStr">
        <is>
          <t>7 expressions + valence/arousal</t>
        </is>
      </c>
      <c r="S19" s="32" t="inlineStr">
        <is>
          <t>Accuracy/RMSE</t>
        </is>
      </c>
      <c r="T19" s="32" t="inlineStr">
        <is>
          <t>Large real-world dataset with baseline deep models</t>
        </is>
      </c>
      <c r="U19" s="32" t="inlineStr">
        <is>
          <t>In-the-wild variability and demographic issues</t>
        </is>
      </c>
      <c r="V19" s="32" t="inlineStr">
        <is>
          <t>Supports AffectNet use</t>
        </is>
      </c>
      <c r="W19" s="32" t="inlineStr">
        <is>
          <t>Need local/device-specific evaluation</t>
        </is>
      </c>
      <c r="X19" s="32" t="inlineStr">
        <is>
          <t>AffectNet</t>
        </is>
      </c>
      <c r="Y19" s="32" t="inlineStr"/>
    </row>
    <row r="20" ht="15.75" customHeight="1" s="24">
      <c r="A20" s="32" t="inlineStr">
        <is>
          <t>F3</t>
        </is>
      </c>
      <c r="B20" s="32" t="inlineStr">
        <is>
          <t>Facial Emotion Recognition (incl. Head-Pose)</t>
        </is>
      </c>
      <c r="C20" s="32" t="inlineStr">
        <is>
          <t>(N/A — not Behavioural Track)</t>
        </is>
      </c>
      <c r="D20" s="32" t="inlineStr">
        <is>
          <t>Extracted</t>
        </is>
      </c>
      <c r="E20" s="32" t="inlineStr">
        <is>
          <t>Tier 1</t>
        </is>
      </c>
      <c r="F20" s="32" t="inlineStr">
        <is>
          <t>Yes</t>
        </is>
      </c>
      <c r="G20" s="32" t="inlineStr">
        <is>
          <t>Sandler et al.</t>
        </is>
      </c>
      <c r="H20" s="32" t="inlineStr">
        <is>
          <t>2018</t>
        </is>
      </c>
      <c r="I20" s="32" t="inlineStr">
        <is>
          <t>MobileNetV2: Inverted Residuals and Linear Bottlenecks</t>
        </is>
      </c>
      <c r="J20" s="32" t="inlineStr">
        <is>
          <t>CVPR</t>
        </is>
      </c>
      <c r="K20" s="32" t="inlineStr">
        <is>
          <t>https://doi.org/10.1109/CVPR.2018.00474</t>
        </is>
      </c>
      <c r="L20" s="32" t="inlineStr">
        <is>
          <t>Efficient mobile vision architecture</t>
        </is>
      </c>
      <c r="M20" s="32" t="inlineStr">
        <is>
          <t>ImageNet/COCO/VOC</t>
        </is>
      </c>
      <c r="N20" s="32" t="inlineStr">
        <is>
          <t>Mobile/resource-constrained devices</t>
        </is>
      </c>
      <c r="O20" s="32" t="inlineStr">
        <is>
          <t>Architecture study</t>
        </is>
      </c>
      <c r="P20" s="32" t="inlineStr">
        <is>
          <t>MobileNetV2</t>
        </is>
      </c>
      <c r="Q20" s="32" t="inlineStr">
        <is>
          <t>Image</t>
        </is>
      </c>
      <c r="R20" s="32" t="inlineStr">
        <is>
          <t>Vision tasks</t>
        </is>
      </c>
      <c r="S20" s="32" t="inlineStr">
        <is>
          <t>Accuracy/MAdds/latency/params</t>
        </is>
      </c>
      <c r="T20" s="32" t="inlineStr">
        <is>
          <t>Strong accuracy-efficiency trade-off</t>
        </is>
      </c>
      <c r="U20" s="32" t="inlineStr">
        <is>
          <t>Not FER-specific</t>
        </is>
      </c>
      <c r="V20" s="32" t="inlineStr">
        <is>
          <t>Basis for on-device FER model</t>
        </is>
      </c>
      <c r="W20" s="32" t="inlineStr">
        <is>
          <t>FER-specific mobile validation needed</t>
        </is>
      </c>
      <c r="X20" s="32" t="inlineStr">
        <is>
          <t>MobileNetV2 transfer learning</t>
        </is>
      </c>
      <c r="Y20" s="32" t="inlineStr"/>
    </row>
    <row r="21" ht="15.75" customHeight="1" s="24">
      <c r="A21" s="32" t="inlineStr">
        <is>
          <t>F4</t>
        </is>
      </c>
      <c r="B21" s="32" t="inlineStr">
        <is>
          <t>Facial Emotion Recognition (incl. Head-Pose)</t>
        </is>
      </c>
      <c r="C21" s="32" t="inlineStr">
        <is>
          <t>(N/A — not Behavioural Track)</t>
        </is>
      </c>
      <c r="D21" s="32" t="inlineStr">
        <is>
          <t>Extracted</t>
        </is>
      </c>
      <c r="E21" s="32" t="inlineStr">
        <is>
          <t>Tier 1</t>
        </is>
      </c>
      <c r="F21" s="32" t="inlineStr">
        <is>
          <t>Yes</t>
        </is>
      </c>
      <c r="G21" s="32" t="inlineStr">
        <is>
          <t>Zhu et al.</t>
        </is>
      </c>
      <c r="H21" s="32" t="inlineStr">
        <is>
          <t>2024</t>
        </is>
      </c>
      <c r="I21" s="32" t="inlineStr">
        <is>
          <t>A study on expression recognition based on improved MobileNetV2 network</t>
        </is>
      </c>
      <c r="J21" s="32" t="inlineStr">
        <is>
          <t>Scientific Reports</t>
        </is>
      </c>
      <c r="K21" s="32" t="inlineStr">
        <is>
          <t>https://doi.org/10.1038/s41598-024-58736-x</t>
        </is>
      </c>
      <c r="L21" s="32" t="inlineStr">
        <is>
          <t>Improve lightweight MobileNetV2 FER performance</t>
        </is>
      </c>
      <c r="M21" s="32" t="inlineStr">
        <is>
          <t>Facial expression dataset</t>
        </is>
      </c>
      <c r="N21" s="32" t="inlineStr">
        <is>
          <t>Expression recognition</t>
        </is>
      </c>
      <c r="O21" s="32" t="inlineStr">
        <is>
          <t>Improved MobileNetV2</t>
        </is>
      </c>
      <c r="P21" s="32" t="inlineStr">
        <is>
          <t>I-MobileNetV2</t>
        </is>
      </c>
      <c r="Q21" s="32" t="inlineStr">
        <is>
          <t>Face</t>
        </is>
      </c>
      <c r="R21" s="32" t="inlineStr">
        <is>
          <t>Emotion</t>
        </is>
      </c>
      <c r="S21" s="32" t="inlineStr">
        <is>
          <t>Accuracy/efficiency</t>
        </is>
      </c>
      <c r="T21" s="32" t="inlineStr">
        <is>
          <t>Targets better accuracy and real-time performance</t>
        </is>
      </c>
      <c r="U21" s="32" t="inlineStr">
        <is>
          <t>Improved architecture increases complexity</t>
        </is>
      </c>
      <c r="V21" s="32" t="inlineStr">
        <is>
          <t>Current evidence for MobileNetV2 family</t>
        </is>
      </c>
      <c r="W21" s="32" t="inlineStr">
        <is>
          <t>Need mid-range Android validation</t>
        </is>
      </c>
      <c r="X21" s="32" t="inlineStr">
        <is>
          <t>MobileNetV2</t>
        </is>
      </c>
      <c r="Y21" s="32" t="inlineStr"/>
    </row>
    <row r="22" ht="15.75" customHeight="1" s="24">
      <c r="A22" s="32" t="inlineStr">
        <is>
          <t>F5</t>
        </is>
      </c>
      <c r="B22" s="32" t="inlineStr">
        <is>
          <t>Facial Emotion Recognition (incl. Head-Pose)</t>
        </is>
      </c>
      <c r="C22" s="32" t="inlineStr">
        <is>
          <t>(N/A — not Behavioural Track)</t>
        </is>
      </c>
      <c r="D22" s="32" t="inlineStr">
        <is>
          <t>Extracted</t>
        </is>
      </c>
      <c r="E22" s="32" t="inlineStr">
        <is>
          <t>Tier 1</t>
        </is>
      </c>
      <c r="F22" s="32" t="inlineStr">
        <is>
          <t>Yes</t>
        </is>
      </c>
      <c r="G22" s="32" t="inlineStr">
        <is>
          <t>Yang, F.; Zhang, Q.; Zheng, C.; Qiu, G.</t>
        </is>
      </c>
      <c r="H22" s="32" t="inlineStr">
        <is>
          <t>2018</t>
        </is>
      </c>
      <c r="I22" s="32" t="inlineStr">
        <is>
          <t>In-the-wild Facial Expression Recognition in Extreme Poses</t>
        </is>
      </c>
      <c r="J22" s="32" t="inlineStr">
        <is>
          <t>arXiv</t>
        </is>
      </c>
      <c r="K22" s="32" t="inlineStr">
        <is>
          <t>https://arxiv.org/abs/1811.02194</t>
        </is>
      </c>
      <c r="L22" s="32" t="inlineStr">
        <is>
          <t>FER under extreme head poses</t>
        </is>
      </c>
      <c r="M22" s="32" t="inlineStr">
        <is>
          <t>Labeled multi-pose face data</t>
        </is>
      </c>
      <c r="N22" s="32" t="inlineStr">
        <is>
          <t>In-the-wild extreme poses</t>
        </is>
      </c>
      <c r="O22" s="32" t="inlineStr">
        <is>
          <t>Pose grouping + feature fusion</t>
        </is>
      </c>
      <c r="P22" s="32" t="inlineStr">
        <is>
          <t>SIFT/LBP + deep features</t>
        </is>
      </c>
      <c r="Q22" s="32" t="inlineStr">
        <is>
          <t>Face</t>
        </is>
      </c>
      <c r="R22" s="32" t="inlineStr">
        <is>
          <t>6 basic expressions</t>
        </is>
      </c>
      <c r="S22" s="32" t="inlineStr">
        <is>
          <t>Recognition accuracy</t>
        </is>
      </c>
      <c r="T22" s="32" t="inlineStr">
        <is>
          <t>Pose-aware grouping improved recognition</t>
        </is>
      </c>
      <c r="U22" s="32" t="inlineStr">
        <is>
          <t>Adds pose-specific complexity</t>
        </is>
      </c>
      <c r="V22" s="32" t="inlineStr">
        <is>
          <t>Direct deployment risk for phone camera</t>
        </is>
      </c>
      <c r="W22" s="32" t="inlineStr">
        <is>
          <t>Need head-pose test protocol</t>
        </is>
      </c>
      <c r="X22" s="32" t="inlineStr">
        <is>
          <t>Pose-aware evaluation</t>
        </is>
      </c>
      <c r="Y22" s="32" t="inlineStr"/>
    </row>
    <row r="23" ht="15.75" customHeight="1" s="24">
      <c r="A23" s="32" t="inlineStr">
        <is>
          <t>F6</t>
        </is>
      </c>
      <c r="B23" s="32" t="inlineStr">
        <is>
          <t>Facial Emotion Recognition (incl. Head-Pose)</t>
        </is>
      </c>
      <c r="C23" s="32" t="inlineStr">
        <is>
          <t>(N/A — not Behavioural Track)</t>
        </is>
      </c>
      <c r="D23" s="32" t="inlineStr">
        <is>
          <t>Extracted</t>
        </is>
      </c>
      <c r="E23" s="32" t="inlineStr">
        <is>
          <t>Tier 1</t>
        </is>
      </c>
      <c r="F23" s="32" t="inlineStr">
        <is>
          <t>Yes</t>
        </is>
      </c>
      <c r="G23" s="32" t="inlineStr">
        <is>
          <t>Dominguez-Catena, I.; Paternain, D.; Galar, M.</t>
        </is>
      </c>
      <c r="H23" s="32" t="inlineStr">
        <is>
          <t>2024</t>
        </is>
      </c>
      <c r="I23" s="32" t="inlineStr">
        <is>
          <t>Metrics for Dataset Demographic Bias: A Case Study on Facial Expression Recognition</t>
        </is>
      </c>
      <c r="J23" s="32" t="inlineStr">
        <is>
          <t>IEEE TPAMI</t>
        </is>
      </c>
      <c r="K23" s="32" t="inlineStr">
        <is>
          <t>https://doi.org/10.1109/TPAMI.2024.3361979</t>
        </is>
      </c>
      <c r="L23" s="32" t="inlineStr">
        <is>
          <t>Measure demographic bias in FER datasets</t>
        </is>
      </c>
      <c r="M23" s="32" t="inlineStr">
        <is>
          <t>20 FER datasets</t>
        </is>
      </c>
      <c r="N23" s="32" t="inlineStr">
        <is>
          <t>Multiple demographic groups</t>
        </is>
      </c>
      <c r="O23" s="32" t="inlineStr">
        <is>
          <t>Bias metric taxonomy + case study</t>
        </is>
      </c>
      <c r="P23" s="32" t="inlineStr">
        <is>
          <t>FER datasets/models</t>
        </is>
      </c>
      <c r="Q23" s="32" t="inlineStr">
        <is>
          <t>Face</t>
        </is>
      </c>
      <c r="R23" s="32" t="inlineStr">
        <is>
          <t>Bias/fairness</t>
        </is>
      </c>
      <c r="S23" s="32" t="inlineStr">
        <is>
          <t>Demographic bias metrics</t>
        </is>
      </c>
      <c r="T23" s="32" t="inlineStr">
        <is>
          <t>Dataset imbalance can drive unfairness; reduced metric subset proposed</t>
        </is>
      </c>
      <c r="U23" s="32" t="inlineStr">
        <is>
          <t>Dataset-level focus</t>
        </is>
      </c>
      <c r="V23" s="32" t="inlineStr">
        <is>
          <t>Important fairness consideration</t>
        </is>
      </c>
      <c r="W23" s="32" t="inlineStr">
        <is>
          <t>Need Sri Lankan/local demographic evaluation</t>
        </is>
      </c>
      <c r="X23" s="32" t="inlineStr">
        <is>
          <t>Bias metrics</t>
        </is>
      </c>
      <c r="Y23" s="32" t="inlineStr"/>
    </row>
    <row r="24" ht="15.75" customHeight="1" s="24">
      <c r="A24" s="32" t="inlineStr">
        <is>
          <t>E1</t>
        </is>
      </c>
      <c r="B24" s="32" t="inlineStr">
        <is>
          <t>English Sentiment / Transformers</t>
        </is>
      </c>
      <c r="C24" s="32" t="inlineStr">
        <is>
          <t>(N/A — not Behavioural Track)</t>
        </is>
      </c>
      <c r="D24" s="32" t="inlineStr">
        <is>
          <t>Extracted</t>
        </is>
      </c>
      <c r="E24" s="32" t="inlineStr">
        <is>
          <t>Tier 1</t>
        </is>
      </c>
      <c r="F24" s="32" t="inlineStr">
        <is>
          <t>Yes</t>
        </is>
      </c>
      <c r="G24" s="32" t="inlineStr">
        <is>
          <t>Sanh et al.</t>
        </is>
      </c>
      <c r="H24" s="32" t="inlineStr">
        <is>
          <t>2019</t>
        </is>
      </c>
      <c r="I24" s="32" t="inlineStr">
        <is>
          <t>DistilBERT, a distilled version of BERT: smaller, faster, cheaper and lighter</t>
        </is>
      </c>
      <c r="J24" s="32" t="inlineStr">
        <is>
          <t>arXiv</t>
        </is>
      </c>
      <c r="K24" s="32" t="inlineStr">
        <is>
          <t>https://arxiv.org/abs/1910.01108</t>
        </is>
      </c>
      <c r="L24" s="32" t="inlineStr">
        <is>
          <t>Compress BERT for efficient NLP</t>
        </is>
      </c>
      <c r="M24" s="32" t="inlineStr">
        <is>
          <t>Pretraining + NLP benchmarks</t>
        </is>
      </c>
      <c r="N24" s="32" t="inlineStr">
        <is>
          <t>General NLP</t>
        </is>
      </c>
      <c r="O24" s="32" t="inlineStr">
        <is>
          <t>Knowledge distillation</t>
        </is>
      </c>
      <c r="P24" s="32" t="inlineStr">
        <is>
          <t>DistilBERT</t>
        </is>
      </c>
      <c r="Q24" s="32" t="inlineStr">
        <is>
          <t>Text</t>
        </is>
      </c>
      <c r="R24" s="32" t="inlineStr">
        <is>
          <t>NLP task predictions</t>
        </is>
      </c>
      <c r="S24" s="32" t="inlineStr">
        <is>
          <t>Model size/speed/task performance</t>
        </is>
      </c>
      <c r="T24" s="32" t="inlineStr">
        <is>
          <t>40% smaller, 60% faster; ~97% language understanding retained</t>
        </is>
      </c>
      <c r="U24" s="32" t="inlineStr">
        <is>
          <t>Not pregnancy-specific</t>
        </is>
      </c>
      <c r="V24" s="32" t="inlineStr">
        <is>
          <t>Justifies efficient transformer</t>
        </is>
      </c>
      <c r="W24" s="32" t="inlineStr">
        <is>
          <t>Domain shift to pregnancy chat</t>
        </is>
      </c>
      <c r="X24" s="32" t="inlineStr">
        <is>
          <t>DistilBERT</t>
        </is>
      </c>
      <c r="Y24" s="32" t="inlineStr"/>
    </row>
    <row r="25" ht="15.75" customHeight="1" s="24">
      <c r="A25" s="32" t="inlineStr">
        <is>
          <t>E2</t>
        </is>
      </c>
      <c r="B25" s="32" t="inlineStr">
        <is>
          <t>English Sentiment / Transformers</t>
        </is>
      </c>
      <c r="C25" s="32" t="inlineStr">
        <is>
          <t>(N/A — not Behavioural Track)</t>
        </is>
      </c>
      <c r="D25" s="32" t="inlineStr">
        <is>
          <t>Extracted</t>
        </is>
      </c>
      <c r="E25" s="32" t="inlineStr">
        <is>
          <t>Tier 1</t>
        </is>
      </c>
      <c r="F25" s="32" t="inlineStr">
        <is>
          <t>Yes</t>
        </is>
      </c>
      <c r="G25" s="32" t="inlineStr">
        <is>
          <t>Devlin et al.</t>
        </is>
      </c>
      <c r="H25" s="32" t="inlineStr">
        <is>
          <t>2019</t>
        </is>
      </c>
      <c r="I25" s="32" t="inlineStr">
        <is>
          <t>BERT: Pre-training of Deep Bidirectional Transformers for Language Understanding</t>
        </is>
      </c>
      <c r="J25" s="32" t="inlineStr">
        <is>
          <t>NAACL</t>
        </is>
      </c>
      <c r="K25" s="32" t="inlineStr">
        <is>
          <t>https://doi.org/10.18653/v1/N19-1423</t>
        </is>
      </c>
      <c r="L25" s="32" t="inlineStr">
        <is>
          <t>Contextual language representation</t>
        </is>
      </c>
      <c r="M25" s="32" t="inlineStr">
        <is>
          <t>Large unlabeled corpora + GLUE</t>
        </is>
      </c>
      <c r="N25" s="32" t="inlineStr">
        <is>
          <t>General NLP</t>
        </is>
      </c>
      <c r="O25" s="32" t="inlineStr">
        <is>
          <t>Pretraining + fine-tuning</t>
        </is>
      </c>
      <c r="P25" s="32" t="inlineStr">
        <is>
          <t>BERT</t>
        </is>
      </c>
      <c r="Q25" s="32" t="inlineStr">
        <is>
          <t>Text</t>
        </is>
      </c>
      <c r="R25" s="32" t="inlineStr">
        <is>
          <t>NLP tasks</t>
        </is>
      </c>
      <c r="S25" s="32" t="inlineStr">
        <is>
          <t>GLUE/MultiNLI/SQuAD</t>
        </is>
      </c>
      <c r="T25" s="32" t="inlineStr">
        <is>
          <t>State-of-the-art on 11 tasks at publication</t>
        </is>
      </c>
      <c r="U25" s="32" t="inlineStr">
        <is>
          <t>Resource-heavy</t>
        </is>
      </c>
      <c r="V25" s="32" t="inlineStr">
        <is>
          <t>Foundational transformer rationale</t>
        </is>
      </c>
      <c r="W25" s="32" t="inlineStr">
        <is>
          <t>Need lightweight/domain-appropriate model</t>
        </is>
      </c>
      <c r="X25" s="32" t="inlineStr">
        <is>
          <t>Transformer fine-tuning concept</t>
        </is>
      </c>
      <c r="Y25" s="32" t="inlineStr"/>
    </row>
    <row r="26" ht="15.75" customHeight="1" s="24">
      <c r="A26" s="32" t="inlineStr">
        <is>
          <t>E3</t>
        </is>
      </c>
      <c r="B26" s="32" t="inlineStr">
        <is>
          <t>English Sentiment / Transformers</t>
        </is>
      </c>
      <c r="C26" s="32" t="inlineStr">
        <is>
          <t>(N/A — not Behavioural Track)</t>
        </is>
      </c>
      <c r="D26" s="32" t="inlineStr">
        <is>
          <t>Extracted</t>
        </is>
      </c>
      <c r="E26" s="32" t="inlineStr">
        <is>
          <t>Tier 1</t>
        </is>
      </c>
      <c r="F26" s="32" t="inlineStr">
        <is>
          <t>Yes</t>
        </is>
      </c>
      <c r="G26" s="32" t="inlineStr">
        <is>
          <t>Acheampong, F.A.; Wenyu, C.; Nunoo-Mensah, H.</t>
        </is>
      </c>
      <c r="H26" s="32" t="inlineStr">
        <is>
          <t>2020</t>
        </is>
      </c>
      <c r="I26" s="32" t="inlineStr">
        <is>
          <t>Text-based emotion detection: Advances, challenges, and opportunities</t>
        </is>
      </c>
      <c r="J26" s="32" t="inlineStr">
        <is>
          <t>Engineering Reports</t>
        </is>
      </c>
      <c r="K26" s="32" t="inlineStr">
        <is>
          <t>https://doi.org/10.1002/eng2.12189</t>
        </is>
      </c>
      <c r="L26" s="32" t="inlineStr">
        <is>
          <t>Review text emotion detection</t>
        </is>
      </c>
      <c r="M26" s="32" t="inlineStr">
        <is>
          <t>Literature review</t>
        </is>
      </c>
      <c r="N26" s="32" t="inlineStr">
        <is>
          <t>Text emotion</t>
        </is>
      </c>
      <c r="O26" s="32" t="inlineStr">
        <is>
          <t>Review</t>
        </is>
      </c>
      <c r="P26" s="32" t="inlineStr">
        <is>
          <t>ML/deep learning</t>
        </is>
      </c>
      <c r="Q26" s="32" t="inlineStr">
        <is>
          <t>Text</t>
        </is>
      </c>
      <c r="R26" s="32" t="inlineStr">
        <is>
          <t>Emotion</t>
        </is>
      </c>
      <c r="S26" s="32" t="inlineStr">
        <is>
          <t>Survey</t>
        </is>
      </c>
      <c r="T26" s="32" t="inlineStr">
        <is>
          <t>Reviews classical/deep approaches and challenges</t>
        </is>
      </c>
      <c r="U26" s="32" t="inlineStr">
        <is>
          <t>Review-level evidence</t>
        </is>
      </c>
      <c r="V26" s="32" t="inlineStr">
        <is>
          <t>Supports text signal limitations</t>
        </is>
      </c>
      <c r="W26" s="32" t="inlineStr">
        <is>
          <t>Text alone can be ambiguous</t>
        </is>
      </c>
      <c r="X26" s="32" t="inlineStr">
        <is>
          <t>Use multimodality to complement text</t>
        </is>
      </c>
      <c r="Y26" s="32" t="inlineStr"/>
    </row>
    <row r="27" ht="15.75" customHeight="1" s="24">
      <c r="A27" s="32" t="inlineStr">
        <is>
          <t>S1</t>
        </is>
      </c>
      <c r="B27" s="32" t="inlineStr">
        <is>
          <t>Sinhala / Low-Resource NLP</t>
        </is>
      </c>
      <c r="C27" s="32" t="inlineStr">
        <is>
          <t>(N/A — not Behavioural Track)</t>
        </is>
      </c>
      <c r="D27" s="32" t="inlineStr">
        <is>
          <t>Extracted</t>
        </is>
      </c>
      <c r="E27" s="32" t="inlineStr">
        <is>
          <t>Tier 1</t>
        </is>
      </c>
      <c r="F27" s="32" t="inlineStr">
        <is>
          <t>Yes</t>
        </is>
      </c>
      <c r="G27" s="32" t="inlineStr">
        <is>
          <t>Peiris, Y.N.S.</t>
        </is>
      </c>
      <c r="H27" s="32" t="inlineStr">
        <is>
          <t>2021</t>
        </is>
      </c>
      <c r="I27" s="32" t="inlineStr">
        <is>
          <t>Sentiment Analysis for the Sinhala Language with BERT Based Language Model</t>
        </is>
      </c>
      <c r="J27" s="32" t="inlineStr">
        <is>
          <t>IIT Sri Lanka repository</t>
        </is>
      </c>
      <c r="K27" s="32" t="inlineStr">
        <is>
          <t>http://dlib.iit.ac.lk/xmlui/handle/123456789/849</t>
        </is>
      </c>
      <c r="L27" s="32" t="inlineStr">
        <is>
          <t>Sinhala sentiment using transformer</t>
        </is>
      </c>
      <c r="M27" s="32" t="inlineStr">
        <is>
          <t>Sinhala news comments; binary/multiclass</t>
        </is>
      </c>
      <c r="N27" s="32" t="inlineStr">
        <is>
          <t>Sinhala</t>
        </is>
      </c>
      <c r="O27" s="32" t="inlineStr">
        <is>
          <t>LaBSE + classifier</t>
        </is>
      </c>
      <c r="P27" s="32" t="inlineStr">
        <is>
          <t>LaBSE</t>
        </is>
      </c>
      <c r="Q27" s="32" t="inlineStr">
        <is>
          <t>Text</t>
        </is>
      </c>
      <c r="R27" s="32" t="inlineStr">
        <is>
          <t>Sentiment</t>
        </is>
      </c>
      <c r="S27" s="32" t="inlineStr">
        <is>
          <t>F1</t>
        </is>
      </c>
      <c r="T27" s="32" t="inlineStr">
        <is>
          <t>89.82% binary; 64.72% multiclass</t>
        </is>
      </c>
      <c r="U27" s="32" t="inlineStr">
        <is>
          <t>News comments; not pregnancy context</t>
        </is>
      </c>
      <c r="V27" s="32" t="inlineStr">
        <is>
          <t>Benchmark for Sinhala sentiment</t>
        </is>
      </c>
      <c r="W27" s="32" t="inlineStr">
        <is>
          <t>Pregnancy-domain Sinhala data absent</t>
        </is>
      </c>
      <c r="X27" s="32" t="inlineStr">
        <is>
          <t>Benchmark against lexicon</t>
        </is>
      </c>
      <c r="Y27" s="32" t="inlineStr"/>
    </row>
    <row r="28" ht="15.75" customHeight="1" s="24">
      <c r="A28" s="32" t="inlineStr">
        <is>
          <t>S2</t>
        </is>
      </c>
      <c r="B28" s="32" t="inlineStr">
        <is>
          <t>Sinhala / Low-Resource NLP</t>
        </is>
      </c>
      <c r="C28" s="32" t="inlineStr">
        <is>
          <t>(N/A — not Behavioural Track)</t>
        </is>
      </c>
      <c r="D28" s="32" t="inlineStr">
        <is>
          <t>Extracted</t>
        </is>
      </c>
      <c r="E28" s="32" t="inlineStr">
        <is>
          <t>Tier 1</t>
        </is>
      </c>
      <c r="F28" s="32" t="inlineStr">
        <is>
          <t>Yes</t>
        </is>
      </c>
      <c r="G28" s="32" t="inlineStr">
        <is>
          <t>Ranasinghe et al.</t>
        </is>
      </c>
      <c r="H28" s="32" t="inlineStr">
        <is>
          <t>2025</t>
        </is>
      </c>
      <c r="I28" s="32" t="inlineStr">
        <is>
          <t>Sinhala Encoder-only Language Models and Evaluation</t>
        </is>
      </c>
      <c r="J28" s="32" t="inlineStr">
        <is>
          <t>ACL 2025</t>
        </is>
      </c>
      <c r="K28" s="32" t="inlineStr">
        <is>
          <t>https://doi.org/10.18653/v1/2025.acl-long.422</t>
        </is>
      </c>
      <c r="L28" s="32" t="inlineStr">
        <is>
          <t>Sinhala LM resource and benchmark scarcity</t>
        </is>
      </c>
      <c r="M28" s="32" t="inlineStr">
        <is>
          <t>Large Sinhala corpus + Sinhala-GLUE</t>
        </is>
      </c>
      <c r="N28" s="32" t="inlineStr">
        <is>
          <t>Sinhala</t>
        </is>
      </c>
      <c r="O28" s="32" t="inlineStr">
        <is>
          <t>Train LMs + benchmark</t>
        </is>
      </c>
      <c r="P28" s="32" t="inlineStr">
        <is>
          <t>Sinhala encoder LMs</t>
        </is>
      </c>
      <c r="Q28" s="32" t="inlineStr">
        <is>
          <t>Text</t>
        </is>
      </c>
      <c r="R28" s="32" t="inlineStr">
        <is>
          <t>Multiple NLP tasks</t>
        </is>
      </c>
      <c r="S28" s="32" t="inlineStr">
        <is>
          <t>Sinhala-GLUE</t>
        </is>
      </c>
      <c r="T28" s="32" t="inlineStr">
        <is>
          <t>Sinhala-specific LMs outperform popular multilingual LMs</t>
        </is>
      </c>
      <c r="U28" s="32" t="inlineStr">
        <is>
          <t>Resource scarcity remains</t>
        </is>
      </c>
      <c r="V28" s="32" t="inlineStr">
        <is>
          <t>Current Sinhala NLP landscape</t>
        </is>
      </c>
      <c r="W28" s="32" t="inlineStr">
        <is>
          <t>Pregnancy-specific sentiment still underexplored</t>
        </is>
      </c>
      <c r="X28" s="32" t="inlineStr">
        <is>
          <t>Consider Sinhala-specific model as future alternative</t>
        </is>
      </c>
      <c r="Y28" s="32" t="inlineStr"/>
    </row>
    <row r="29" ht="15.75" customHeight="1" s="24">
      <c r="A29" s="32" t="inlineStr">
        <is>
          <t>S3</t>
        </is>
      </c>
      <c r="B29" s="32" t="inlineStr">
        <is>
          <t>Sinhala / Low-Resource NLP</t>
        </is>
      </c>
      <c r="C29" s="32" t="inlineStr">
        <is>
          <t>(N/A — not Behavioural Track)</t>
        </is>
      </c>
      <c r="D29" s="32" t="inlineStr">
        <is>
          <t>Extracted</t>
        </is>
      </c>
      <c r="E29" s="32" t="inlineStr">
        <is>
          <t>Tier 1</t>
        </is>
      </c>
      <c r="F29" s="32" t="inlineStr">
        <is>
          <t>Yes</t>
        </is>
      </c>
      <c r="G29" s="32" t="inlineStr">
        <is>
          <t>Weeraprameshwara et al.</t>
        </is>
      </c>
      <c r="H29" s="32" t="inlineStr">
        <is>
          <t>2022</t>
        </is>
      </c>
      <c r="I29" s="32" t="inlineStr">
        <is>
          <t>Sinhala Sentence Embedding: A Two-Tiered Structure for Low-Resource Languages</t>
        </is>
      </c>
      <c r="J29" s="32" t="inlineStr">
        <is>
          <t>PACLIC</t>
        </is>
      </c>
      <c r="K29" s="32" t="inlineStr">
        <is>
          <t>https://aclanthology.org/2022.paclic-1.36/</t>
        </is>
      </c>
      <c r="L29" s="32" t="inlineStr">
        <is>
          <t>Sinhala sentence representation in low-resource setting</t>
        </is>
      </c>
      <c r="M29" s="32" t="inlineStr">
        <is>
          <t>Sinhala text</t>
        </is>
      </c>
      <c r="N29" s="32" t="inlineStr">
        <is>
          <t>Sinhala</t>
        </is>
      </c>
      <c r="O29" s="32" t="inlineStr">
        <is>
          <t>Two-tier sentence embedding</t>
        </is>
      </c>
      <c r="P29" s="32" t="inlineStr">
        <is>
          <t>Sentence embedding architecture</t>
        </is>
      </c>
      <c r="Q29" s="32" t="inlineStr">
        <is>
          <t>Text</t>
        </is>
      </c>
      <c r="R29" s="32" t="inlineStr">
        <is>
          <t>Sentence representations</t>
        </is>
      </c>
      <c r="S29" s="32" t="inlineStr">
        <is>
          <t>Embedding evaluation</t>
        </is>
      </c>
      <c r="T29" s="32" t="inlineStr">
        <is>
          <t>Proposes Sinhala embedding approach</t>
        </is>
      </c>
      <c r="U29" s="32" t="inlineStr">
        <is>
          <t>Low-resource setting</t>
        </is>
      </c>
      <c r="V29" s="32" t="inlineStr">
        <is>
          <t>Supports Sinhala semantic processing</t>
        </is>
      </c>
      <c r="W29" s="32" t="inlineStr">
        <is>
          <t>Emotion-specific pregnancy data</t>
        </is>
      </c>
      <c r="X29" s="32" t="inlineStr">
        <is>
          <t>Future embedding baseline</t>
        </is>
      </c>
      <c r="Y29" s="32" t="inlineStr"/>
    </row>
    <row r="30" ht="15.75" customHeight="1" s="24">
      <c r="A30" s="32" t="inlineStr">
        <is>
          <t>S4</t>
        </is>
      </c>
      <c r="B30" s="32" t="inlineStr">
        <is>
          <t>Sinhala / Low-Resource NLP</t>
        </is>
      </c>
      <c r="C30" s="32" t="inlineStr">
        <is>
          <t>(N/A — not Behavioural Track)</t>
        </is>
      </c>
      <c r="D30" s="32" t="inlineStr">
        <is>
          <t>Extracted</t>
        </is>
      </c>
      <c r="E30" s="32" t="inlineStr">
        <is>
          <t>Tier 1</t>
        </is>
      </c>
      <c r="F30" s="32" t="inlineStr">
        <is>
          <t>Yes</t>
        </is>
      </c>
      <c r="G30" s="32" t="inlineStr">
        <is>
          <t>De Mel et al.</t>
        </is>
      </c>
      <c r="H30" s="32" t="inlineStr">
        <is>
          <t>2025</t>
        </is>
      </c>
      <c r="I30" s="32" t="inlineStr">
        <is>
          <t>Sinhala Transliteration: A Comparative Analysis Between Rule-based and Seq2Seq Approaches</t>
        </is>
      </c>
      <c r="J30" s="32" t="inlineStr">
        <is>
          <t>IndoNLP 2025</t>
        </is>
      </c>
      <c r="K30" s="32" t="inlineStr">
        <is>
          <t>https://aclanthology.org/2025.indonlp-1.19/</t>
        </is>
      </c>
      <c r="L30" s="32" t="inlineStr">
        <is>
          <t>Handle Romanized Sinhala</t>
        </is>
      </c>
      <c r="M30" s="32" t="inlineStr">
        <is>
          <t>Romanized Sinhala</t>
        </is>
      </c>
      <c r="N30" s="32" t="inlineStr">
        <is>
          <t>Sinhala/English mixed typing</t>
        </is>
      </c>
      <c r="O30" s="32" t="inlineStr">
        <is>
          <t>Rule-based vs Transformer</t>
        </is>
      </c>
      <c r="P30" s="32" t="inlineStr">
        <is>
          <t>Seq2Seq Transformer</t>
        </is>
      </c>
      <c r="Q30" s="32" t="inlineStr">
        <is>
          <t>Text</t>
        </is>
      </c>
      <c r="R30" s="32" t="inlineStr">
        <is>
          <t>Transliteration</t>
        </is>
      </c>
      <c r="S30" s="32" t="inlineStr">
        <is>
          <t>Transliteration quality</t>
        </is>
      </c>
      <c r="T30" s="32" t="inlineStr">
        <is>
          <t>Transformer captured ad-hoc patterns better</t>
        </is>
      </c>
      <c r="U30" s="32" t="inlineStr">
        <is>
          <t>Not sentiment-specific</t>
        </is>
      </c>
      <c r="V30" s="32" t="inlineStr">
        <is>
          <t>Important for real user input</t>
        </is>
      </c>
      <c r="W30" s="32" t="inlineStr">
        <is>
          <t>Romanized Sinhala handling not in core proposal</t>
        </is>
      </c>
      <c r="X30" s="32" t="inlineStr">
        <is>
          <t>Future input normalization</t>
        </is>
      </c>
      <c r="Y30" s="32" t="inlineStr">
        <is>
          <t>Scope consideration</t>
        </is>
      </c>
    </row>
    <row r="31" ht="15.75" customHeight="1" s="24">
      <c r="A31" s="32" t="inlineStr">
        <is>
          <t>S5</t>
        </is>
      </c>
      <c r="B31" s="32" t="inlineStr">
        <is>
          <t>Sinhala / Low-Resource NLP</t>
        </is>
      </c>
      <c r="C31" s="32" t="inlineStr">
        <is>
          <t>(N/A — not Behavioural Track)</t>
        </is>
      </c>
      <c r="D31" s="32" t="inlineStr">
        <is>
          <t>Extracted</t>
        </is>
      </c>
      <c r="E31" s="32" t="inlineStr">
        <is>
          <t>Tier 1</t>
        </is>
      </c>
      <c r="F31" s="32" t="inlineStr">
        <is>
          <t>Yes</t>
        </is>
      </c>
      <c r="G31" s="32" t="inlineStr">
        <is>
          <t>Perera, P.S.; Sumanathilaka, D.K.</t>
        </is>
      </c>
      <c r="H31" s="32" t="inlineStr">
        <is>
          <t>2025</t>
        </is>
      </c>
      <c r="I31" s="32" t="inlineStr">
        <is>
          <t>A Low-Resource Speech-Driven NLP Pipeline for Sinhala Dyslexia Assistance</t>
        </is>
      </c>
      <c r="J31" s="32" t="inlineStr">
        <is>
          <t>RANLP 2025</t>
        </is>
      </c>
      <c r="K31" s="32" t="inlineStr">
        <is>
          <t>https://aclanthology.org/2025.ranlp-1.106/</t>
        </is>
      </c>
      <c r="L31" s="32" t="inlineStr">
        <is>
          <t>Build Sinhala assistive NLP under low-resource constraints</t>
        </is>
      </c>
      <c r="M31" s="32" t="inlineStr">
        <is>
          <t>Sinhala speech/text</t>
        </is>
      </c>
      <c r="N31" s="32" t="inlineStr">
        <is>
          <t>Sinhala</t>
        </is>
      </c>
      <c r="O31" s="32" t="inlineStr">
        <is>
          <t>Whisper + SinBERT + mT5/Mistral</t>
        </is>
      </c>
      <c r="P31" s="32" t="inlineStr">
        <is>
          <t>SinBERT etc.</t>
        </is>
      </c>
      <c r="Q31" s="32" t="inlineStr">
        <is>
          <t>Speech/text</t>
        </is>
      </c>
      <c r="R31" s="32" t="inlineStr">
        <is>
          <t>Correction</t>
        </is>
      </c>
      <c r="S31" s="32" t="inlineStr">
        <is>
          <t>Accuracy</t>
        </is>
      </c>
      <c r="T31" s="32" t="inlineStr">
        <is>
          <t>66% transcription; 70% correction; 65% overall</t>
        </is>
      </c>
      <c r="U31" s="32" t="inlineStr">
        <is>
          <t>Limited datasets</t>
        </is>
      </c>
      <c r="V31" s="32" t="inlineStr">
        <is>
          <t>Shows current Sinhala NLP feasibility and data limits</t>
        </is>
      </c>
      <c r="W31" s="32" t="inlineStr">
        <is>
          <t>Pregnancy sentiment data still missing</t>
        </is>
      </c>
      <c r="X31" s="32" t="inlineStr">
        <is>
          <t>Data/evaluation discipline</t>
        </is>
      </c>
      <c r="Y31" s="32" t="inlineStr"/>
    </row>
    <row r="32" ht="15.75" customHeight="1" s="24">
      <c r="A32" s="32" t="inlineStr">
        <is>
          <t>MF1</t>
        </is>
      </c>
      <c r="B32" s="32" t="inlineStr">
        <is>
          <t>Multimodal Fusion</t>
        </is>
      </c>
      <c r="C32" s="32" t="inlineStr">
        <is>
          <t>(N/A — not Behavioural Track)</t>
        </is>
      </c>
      <c r="D32" s="32" t="inlineStr">
        <is>
          <t>Extracted</t>
        </is>
      </c>
      <c r="E32" s="32" t="inlineStr">
        <is>
          <t>Tier 1</t>
        </is>
      </c>
      <c r="F32" s="32" t="inlineStr">
        <is>
          <t>Yes</t>
        </is>
      </c>
      <c r="G32" s="32" t="inlineStr">
        <is>
          <t>Lian, H.; Lu, C.; Li, S.; Zhao, Y.; Tang, C.; Zong, Y.</t>
        </is>
      </c>
      <c r="H32" s="32" t="inlineStr">
        <is>
          <t>2023</t>
        </is>
      </c>
      <c r="I32" s="32" t="inlineStr">
        <is>
          <t>A Survey of Deep Learning-Based Multimodal Emotion Recognition: Speech, Text, and Face</t>
        </is>
      </c>
      <c r="J32" s="32" t="inlineStr">
        <is>
          <t>Entropy</t>
        </is>
      </c>
      <c r="K32" s="32" t="inlineStr">
        <is>
          <t>https://doi.org/10.3390/e25101440</t>
        </is>
      </c>
      <c r="L32" s="32" t="inlineStr">
        <is>
          <t>Survey multimodal emotion recognition</t>
        </is>
      </c>
      <c r="M32" s="32" t="inlineStr">
        <is>
          <t>Multiple MER datasets</t>
        </is>
      </c>
      <c r="N32" s="32" t="inlineStr">
        <is>
          <t>Affective computing</t>
        </is>
      </c>
      <c r="O32" s="32" t="inlineStr">
        <is>
          <t>Survey</t>
        </is>
      </c>
      <c r="P32" s="32" t="inlineStr">
        <is>
          <t>Deep multimodal methods</t>
        </is>
      </c>
      <c r="Q32" s="32" t="inlineStr">
        <is>
          <t>Face/text/speech</t>
        </is>
      </c>
      <c r="R32" s="32" t="inlineStr">
        <is>
          <t>Emotion</t>
        </is>
      </c>
      <c r="S32" s="32" t="inlineStr">
        <is>
          <t>Survey</t>
        </is>
      </c>
      <c r="T32" s="32" t="inlineStr">
        <is>
          <t>Categorizes multimodal methods and datasets</t>
        </is>
      </c>
      <c r="U32" s="32" t="inlineStr">
        <is>
          <t>Modality/data alignment challenges</t>
        </is>
      </c>
      <c r="V32" s="32" t="inlineStr">
        <is>
          <t>Supports multimodal framing</t>
        </is>
      </c>
      <c r="W32" s="32" t="inlineStr">
        <is>
          <t>Face+text in pregnancy-specific setting</t>
        </is>
      </c>
      <c r="X32" s="32" t="inlineStr">
        <is>
          <t>Fusion taxonomy</t>
        </is>
      </c>
      <c r="Y32" s="32" t="inlineStr"/>
    </row>
    <row r="33" ht="15.75" customHeight="1" s="24">
      <c r="A33" s="32" t="inlineStr">
        <is>
          <t>MF2</t>
        </is>
      </c>
      <c r="B33" s="32" t="inlineStr">
        <is>
          <t>Multimodal Fusion</t>
        </is>
      </c>
      <c r="C33" s="32" t="inlineStr">
        <is>
          <t>(N/A — not Behavioural Track)</t>
        </is>
      </c>
      <c r="D33" s="32" t="inlineStr">
        <is>
          <t>Extracted</t>
        </is>
      </c>
      <c r="E33" s="32" t="inlineStr">
        <is>
          <t>Tier 1</t>
        </is>
      </c>
      <c r="F33" s="32" t="inlineStr">
        <is>
          <t>Yes</t>
        </is>
      </c>
      <c r="G33" s="32" t="inlineStr">
        <is>
          <t>Ezzameli, K.; Mahersia, H.</t>
        </is>
      </c>
      <c r="H33" s="32" t="inlineStr">
        <is>
          <t>2023</t>
        </is>
      </c>
      <c r="I33" s="32" t="inlineStr">
        <is>
          <t>Emotion recognition from unimodal to multimodal analysis: A review</t>
        </is>
      </c>
      <c r="J33" s="32" t="inlineStr">
        <is>
          <t>Information Fusion</t>
        </is>
      </c>
      <c r="K33" s="32" t="inlineStr">
        <is>
          <t>https://doi.org/10.1016/j.inffus.2023.101847</t>
        </is>
      </c>
      <c r="L33" s="32" t="inlineStr">
        <is>
          <t>Review unimodal/multimodal evolution</t>
        </is>
      </c>
      <c r="M33" s="32" t="inlineStr">
        <is>
          <t>Literature review</t>
        </is>
      </c>
      <c r="N33" s="32" t="inlineStr">
        <is>
          <t>Emotion recognition</t>
        </is>
      </c>
      <c r="O33" s="32" t="inlineStr">
        <is>
          <t>Review</t>
        </is>
      </c>
      <c r="P33" s="32" t="inlineStr">
        <is>
          <t>CNN/LSTM/Transformer/fusion</t>
        </is>
      </c>
      <c r="Q33" s="32" t="inlineStr">
        <is>
          <t>Multiple</t>
        </is>
      </c>
      <c r="R33" s="32" t="inlineStr">
        <is>
          <t>Emotion</t>
        </is>
      </c>
      <c r="S33" s="32" t="inlineStr">
        <is>
          <t>Review</t>
        </is>
      </c>
      <c r="T33" s="32" t="inlineStr">
        <is>
          <t>Multimodal combinations often improve recognition; transformers strong for text</t>
        </is>
      </c>
      <c r="U33" s="32" t="inlineStr">
        <is>
          <t>Generalization/fusion complexity</t>
        </is>
      </c>
      <c r="V33" s="32" t="inlineStr">
        <is>
          <t>Supports two-modality fusion</t>
        </is>
      </c>
      <c r="W33" s="32" t="inlineStr">
        <is>
          <t>Need principled weighting/evaluation</t>
        </is>
      </c>
      <c r="X33" s="32" t="inlineStr">
        <is>
          <t>Compare early/late fusion</t>
        </is>
      </c>
      <c r="Y33" s="32" t="inlineStr"/>
    </row>
    <row r="34" ht="15.75" customHeight="1" s="24">
      <c r="A34" s="32" t="inlineStr">
        <is>
          <t>MF3</t>
        </is>
      </c>
      <c r="B34" s="32" t="inlineStr">
        <is>
          <t>Multimodal Fusion</t>
        </is>
      </c>
      <c r="C34" s="32" t="inlineStr">
        <is>
          <t>(N/A — not Behavioural Track)</t>
        </is>
      </c>
      <c r="D34" s="32" t="inlineStr">
        <is>
          <t>Extracted</t>
        </is>
      </c>
      <c r="E34" s="32" t="inlineStr">
        <is>
          <t>Tier 1</t>
        </is>
      </c>
      <c r="F34" s="32" t="inlineStr">
        <is>
          <t>Yes</t>
        </is>
      </c>
      <c r="G34" s="32" t="inlineStr">
        <is>
          <t>Survey authors</t>
        </is>
      </c>
      <c r="H34" s="32" t="inlineStr">
        <is>
          <t>2023</t>
        </is>
      </c>
      <c r="I34" s="32" t="inlineStr">
        <is>
          <t>A review of multimodal emotion recognition from datasets, preprocessing, features, and fusion methods</t>
        </is>
      </c>
      <c r="J34" s="32" t="inlineStr">
        <is>
          <t>Neurocomputing</t>
        </is>
      </c>
      <c r="K34" s="32" t="inlineStr">
        <is>
          <t>https://doi.org/10.1016/j.neucom.2023.126866</t>
        </is>
      </c>
      <c r="L34" s="32" t="inlineStr">
        <is>
          <t>Review datasets, preprocessing and fusion</t>
        </is>
      </c>
      <c r="M34" s="32" t="inlineStr">
        <is>
          <t>Multiple MER datasets</t>
        </is>
      </c>
      <c r="N34" s="32" t="inlineStr">
        <is>
          <t>Multimodal emotion research</t>
        </is>
      </c>
      <c r="O34" s="32" t="inlineStr">
        <is>
          <t>Survey</t>
        </is>
      </c>
      <c r="P34" s="32" t="inlineStr">
        <is>
          <t>Fusion taxonomy</t>
        </is>
      </c>
      <c r="Q34" s="32" t="inlineStr">
        <is>
          <t>Face/text/voice/behavior</t>
        </is>
      </c>
      <c r="R34" s="32" t="inlineStr">
        <is>
          <t>Emotion</t>
        </is>
      </c>
      <c r="S34" s="32" t="inlineStr">
        <is>
          <t>Review</t>
        </is>
      </c>
      <c r="T34" s="32" t="inlineStr">
        <is>
          <t>Highlights preprocessing, features and fusion strategies</t>
        </is>
      </c>
      <c r="U34" s="32" t="inlineStr">
        <is>
          <t>Alignment/missing modality challenges</t>
        </is>
      </c>
      <c r="V34" s="32" t="inlineStr">
        <is>
          <t>Supports confidence-aware fusion</t>
        </is>
      </c>
      <c r="W34" s="32" t="inlineStr">
        <is>
          <t>Need simple robust fusion for undergraduate deployment</t>
        </is>
      </c>
      <c r="X34" s="32" t="inlineStr">
        <is>
          <t>Late/decision fusion</t>
        </is>
      </c>
      <c r="Y34" s="32" t="inlineStr"/>
    </row>
    <row r="35" ht="15.75" customHeight="1" s="24">
      <c r="A35" s="32" t="inlineStr">
        <is>
          <t>MF4</t>
        </is>
      </c>
      <c r="B35" s="32" t="inlineStr">
        <is>
          <t>Multimodal Fusion</t>
        </is>
      </c>
      <c r="C35" s="32" t="inlineStr">
        <is>
          <t>(N/A — not Behavioural Track)</t>
        </is>
      </c>
      <c r="D35" s="32" t="inlineStr">
        <is>
          <t>Extracted</t>
        </is>
      </c>
      <c r="E35" s="32" t="inlineStr">
        <is>
          <t>Tier 1</t>
        </is>
      </c>
      <c r="F35" s="32" t="inlineStr">
        <is>
          <t>Yes</t>
        </is>
      </c>
      <c r="G35" s="32" t="inlineStr">
        <is>
          <t>Survey authors</t>
        </is>
      </c>
      <c r="H35" s="32" t="inlineStr">
        <is>
          <t>2023</t>
        </is>
      </c>
      <c r="I35" s="32" t="inlineStr">
        <is>
          <t>Survey on multimodal approaches to emotion recognition</t>
        </is>
      </c>
      <c r="J35" s="32" t="inlineStr">
        <is>
          <t>Neurocomputing</t>
        </is>
      </c>
      <c r="K35" s="32" t="inlineStr">
        <is>
          <t>https://doi.org/10.1016/j.neucom.2023.126693</t>
        </is>
      </c>
      <c r="L35" s="32" t="inlineStr">
        <is>
          <t>Survey multimodal emotion recognition</t>
        </is>
      </c>
      <c r="M35" s="32" t="inlineStr">
        <is>
          <t>Literature review</t>
        </is>
      </c>
      <c r="N35" s="32" t="inlineStr">
        <is>
          <t>Multimodal affective computing</t>
        </is>
      </c>
      <c r="O35" s="32" t="inlineStr">
        <is>
          <t>Survey</t>
        </is>
      </c>
      <c r="P35" s="32" t="inlineStr">
        <is>
          <t>Multimodal approaches</t>
        </is>
      </c>
      <c r="Q35" s="32" t="inlineStr">
        <is>
          <t>Multiple</t>
        </is>
      </c>
      <c r="R35" s="32" t="inlineStr">
        <is>
          <t>Emotion</t>
        </is>
      </c>
      <c r="S35" s="32" t="inlineStr">
        <is>
          <t>Review</t>
        </is>
      </c>
      <c r="T35" s="32" t="inlineStr">
        <is>
          <t>Summarizes multimodal emotion approaches</t>
        </is>
      </c>
      <c r="U35" s="32" t="inlineStr">
        <is>
          <t>Heterogeneous modalities</t>
        </is>
      </c>
      <c r="V35" s="32" t="inlineStr">
        <is>
          <t>Positions project in MER field</t>
        </is>
      </c>
      <c r="W35" s="32" t="inlineStr">
        <is>
          <t>Pregnancy/Sinhala-specific fusion</t>
        </is>
      </c>
      <c r="X35" s="32" t="inlineStr">
        <is>
          <t>Architecture comparison</t>
        </is>
      </c>
      <c r="Y35" s="32" t="inlineStr"/>
    </row>
    <row r="36" ht="15.75" customHeight="1" s="24">
      <c r="A36" s="32" t="inlineStr">
        <is>
          <t>AD1</t>
        </is>
      </c>
      <c r="B36" s="32" t="inlineStr">
        <is>
          <t>Adaptive / Affect-Conditioned Response</t>
        </is>
      </c>
      <c r="C36" s="32" t="inlineStr">
        <is>
          <t>(N/A — not Behavioural Track)</t>
        </is>
      </c>
      <c r="D36" s="32" t="inlineStr">
        <is>
          <t>Extracted</t>
        </is>
      </c>
      <c r="E36" s="32" t="inlineStr">
        <is>
          <t>Tier 1</t>
        </is>
      </c>
      <c r="F36" s="32" t="inlineStr">
        <is>
          <t>Yes</t>
        </is>
      </c>
      <c r="G36" s="32" t="inlineStr">
        <is>
          <t>Sanjeewa et al.</t>
        </is>
      </c>
      <c r="H36" s="32" t="inlineStr">
        <is>
          <t>2024</t>
        </is>
      </c>
      <c r="I36" s="32" t="inlineStr">
        <is>
          <t>Empathic Conversational Agent Platform Designs and Their Evaluation in the Context of Mental Health: Systematic Review</t>
        </is>
      </c>
      <c r="J36" s="32" t="inlineStr">
        <is>
          <t>JMIR Mental Health</t>
        </is>
      </c>
      <c r="K36" s="32" t="inlineStr">
        <is>
          <t>https://doi.org/10.2196/50701</t>
        </is>
      </c>
      <c r="L36" s="32" t="inlineStr">
        <is>
          <t>Empathic CA architectures/evaluation</t>
        </is>
      </c>
      <c r="M36" s="32" t="inlineStr">
        <is>
          <t>19 articles</t>
        </is>
      </c>
      <c r="N36" s="32" t="inlineStr">
        <is>
          <t>Mental health CAs</t>
        </is>
      </c>
      <c r="O36" s="32" t="inlineStr">
        <is>
          <t>Systematic review</t>
        </is>
      </c>
      <c r="P36" s="32" t="inlineStr">
        <is>
          <t>ML/hybrid/rule</t>
        </is>
      </c>
      <c r="Q36" s="32" t="inlineStr">
        <is>
          <t>Text/voice</t>
        </is>
      </c>
      <c r="R36" s="32" t="inlineStr">
        <is>
          <t>Emotion/empathy</t>
        </is>
      </c>
      <c r="S36" s="32" t="inlineStr">
        <is>
          <t>Technical + human evaluation</t>
        </is>
      </c>
      <c r="T36" s="32" t="inlineStr">
        <is>
          <t>Hybrid engines often more nuanced; human evaluation common</t>
        </is>
      </c>
      <c r="U36" s="32" t="inlineStr">
        <is>
          <t>Inconsistent empathy measures</t>
        </is>
      </c>
      <c r="V36" s="32" t="inlineStr">
        <is>
          <t>Direct architecture/evaluation guidance</t>
        </is>
      </c>
      <c r="W36" s="32" t="inlineStr">
        <is>
          <t>Need mood-conditioned pregnancy CA</t>
        </is>
      </c>
      <c r="X36" s="32" t="inlineStr">
        <is>
          <t>Human tone evaluation</t>
        </is>
      </c>
      <c r="Y36" s="32" t="inlineStr"/>
    </row>
    <row r="37" ht="15.75" customHeight="1" s="24">
      <c r="A37" s="32" t="inlineStr">
        <is>
          <t>AD2</t>
        </is>
      </c>
      <c r="B37" s="32" t="inlineStr">
        <is>
          <t>Adaptive / Affect-Conditioned Response</t>
        </is>
      </c>
      <c r="C37" s="32" t="inlineStr">
        <is>
          <t>(N/A — not Behavioural Track)</t>
        </is>
      </c>
      <c r="D37" s="32" t="inlineStr">
        <is>
          <t>Extracted</t>
        </is>
      </c>
      <c r="E37" s="32" t="inlineStr">
        <is>
          <t>Tier 1</t>
        </is>
      </c>
      <c r="F37" s="32" t="inlineStr">
        <is>
          <t>Yes</t>
        </is>
      </c>
      <c r="G37" s="32" t="inlineStr">
        <is>
          <t>Morris et al.</t>
        </is>
      </c>
      <c r="H37" s="32" t="inlineStr">
        <is>
          <t>2018</t>
        </is>
      </c>
      <c r="I37" s="32" t="inlineStr">
        <is>
          <t>Towards an Artificially Empathic Conversational Agent for Mental Health Applications: System Design and User Perceptions</t>
        </is>
      </c>
      <c r="J37" s="32" t="inlineStr">
        <is>
          <t>JMIR</t>
        </is>
      </c>
      <c r="K37" s="32" t="inlineStr">
        <is>
          <t>https://doi.org/10.2196/e10148</t>
        </is>
      </c>
      <c r="L37" s="32" t="inlineStr">
        <is>
          <t>Personalized empathic response</t>
        </is>
      </c>
      <c r="M37" s="32" t="inlineStr">
        <is>
          <t>37,169 ratings; N=1284 experiment</t>
        </is>
      </c>
      <c r="N37" s="32" t="inlineStr">
        <is>
          <t>Mental health support</t>
        </is>
      </c>
      <c r="O37" s="32" t="inlineStr">
        <is>
          <t>Retrieval + embeddings</t>
        </is>
      </c>
      <c r="P37" s="32" t="inlineStr">
        <is>
          <t>Information retrieval</t>
        </is>
      </c>
      <c r="Q37" s="32" t="inlineStr">
        <is>
          <t>Text</t>
        </is>
      </c>
      <c r="R37" s="32" t="inlineStr">
        <is>
          <t>Empathy</t>
        </is>
      </c>
      <c r="S37" s="32" t="inlineStr">
        <is>
          <t>User ratings</t>
        </is>
      </c>
      <c r="T37" s="32" t="inlineStr">
        <is>
          <t>79.2% acceptable; human responses preferred</t>
        </is>
      </c>
      <c r="U37" s="32" t="inlineStr">
        <is>
          <t>Nonhuman empathy limitations</t>
        </is>
      </c>
      <c r="V37" s="32" t="inlineStr">
        <is>
          <t>Supports cautious adaptive tone</t>
        </is>
      </c>
      <c r="W37" s="32" t="inlineStr">
        <is>
          <t>Need objective mood detection linked to response</t>
        </is>
      </c>
      <c r="X37" s="32" t="inlineStr">
        <is>
          <t>User perception evaluation</t>
        </is>
      </c>
      <c r="Y37" s="32" t="inlineStr"/>
    </row>
    <row r="38" ht="15.75" customHeight="1" s="24">
      <c r="A38" s="32" t="inlineStr">
        <is>
          <t>AD3</t>
        </is>
      </c>
      <c r="B38" s="32" t="inlineStr">
        <is>
          <t>Adaptive / Affect-Conditioned Response</t>
        </is>
      </c>
      <c r="C38" s="32" t="inlineStr">
        <is>
          <t>(N/A — not Behavioural Track)</t>
        </is>
      </c>
      <c r="D38" s="32" t="inlineStr">
        <is>
          <t>Extracted</t>
        </is>
      </c>
      <c r="E38" s="32" t="inlineStr">
        <is>
          <t>Tier 1</t>
        </is>
      </c>
      <c r="F38" s="32" t="inlineStr">
        <is>
          <t>Yes</t>
        </is>
      </c>
      <c r="G38" s="32" t="inlineStr">
        <is>
          <t>Kim, K. et al.</t>
        </is>
      </c>
      <c r="H38" s="32" t="inlineStr">
        <is>
          <t>2025</t>
        </is>
      </c>
      <c r="I38" s="32" t="inlineStr">
        <is>
          <t>From Seconds to Sentiments: Differential Effects of Chatbot Response Latency on Customer Evaluations</t>
        </is>
      </c>
      <c r="J38" s="32" t="inlineStr">
        <is>
          <t>International Journal of Human–Computer Interaction</t>
        </is>
      </c>
      <c r="K38" s="32" t="inlineStr">
        <is>
          <t>https://doi.org/10.1080/10447318.2025.2508915</t>
        </is>
      </c>
      <c r="L38" s="32" t="inlineStr">
        <is>
          <t>Effect of chatbot response latency</t>
        </is>
      </c>
      <c r="M38" s="32" t="inlineStr">
        <is>
          <t>Two scenario experiments</t>
        </is>
      </c>
      <c r="N38" s="32" t="inlineStr">
        <is>
          <t>Chatbot users</t>
        </is>
      </c>
      <c r="O38" s="32" t="inlineStr">
        <is>
          <t>Controlled experiments</t>
        </is>
      </c>
      <c r="P38" s="32" t="inlineStr">
        <is>
          <t>Statistical analysis</t>
        </is>
      </c>
      <c r="Q38" s="32" t="inlineStr">
        <is>
          <t>Chat</t>
        </is>
      </c>
      <c r="R38" s="32" t="inlineStr">
        <is>
          <t>Satisfaction/perception</t>
        </is>
      </c>
      <c r="S38" s="32" t="inlineStr">
        <is>
          <t>User evaluation</t>
        </is>
      </c>
      <c r="T38" s="32" t="inlineStr">
        <is>
          <t>Longer latency reduced satisfaction; emotional support moderated effects</t>
        </is>
      </c>
      <c r="U38" s="32" t="inlineStr">
        <is>
          <t>Scenario-based</t>
        </is>
      </c>
      <c r="V38" s="32" t="inlineStr">
        <is>
          <t>Supports latency testing</t>
        </is>
      </c>
      <c r="W38" s="32" t="inlineStr">
        <is>
          <t>Need maternal/emotional support context</t>
        </is>
      </c>
      <c r="X38" s="32" t="inlineStr">
        <is>
          <t>Latency benchmark</t>
        </is>
      </c>
      <c r="Y38" s="32" t="inlineStr"/>
    </row>
    <row r="39" ht="15.75" customHeight="1" s="24">
      <c r="A39" s="32" t="inlineStr">
        <is>
          <t>AD4</t>
        </is>
      </c>
      <c r="B39" s="32" t="inlineStr">
        <is>
          <t>Adaptive / Affect-Conditioned Response</t>
        </is>
      </c>
      <c r="C39" s="32" t="inlineStr">
        <is>
          <t>(N/A — not Behavioural Track)</t>
        </is>
      </c>
      <c r="D39" s="32" t="inlineStr">
        <is>
          <t>Extracted</t>
        </is>
      </c>
      <c r="E39" s="32" t="inlineStr">
        <is>
          <t>Tier 1</t>
        </is>
      </c>
      <c r="F39" s="32" t="inlineStr">
        <is>
          <t>Yes</t>
        </is>
      </c>
      <c r="G39" s="32" t="inlineStr">
        <is>
          <t>Fido trial authors</t>
        </is>
      </c>
      <c r="H39" s="32" t="inlineStr">
        <is>
          <t>2024</t>
        </is>
      </c>
      <c r="I39" s="32" t="inlineStr">
        <is>
          <t>Effectiveness of a Web-based and Mobile Therapy Chatbot on Anxiety and Depressive Symptoms in Subclinical Young Adults: Randomized Controlled Trial</t>
        </is>
      </c>
      <c r="J39" s="32" t="inlineStr">
        <is>
          <t>JMIR</t>
        </is>
      </c>
      <c r="K39" s="32" t="inlineStr">
        <is>
          <t>https://pubmed.ncbi.nlm.nih.gov/38506892/</t>
        </is>
      </c>
      <c r="L39" s="32" t="inlineStr">
        <is>
          <t>Non-English therapy chatbot efficacy</t>
        </is>
      </c>
      <c r="M39" s="32" t="inlineStr">
        <is>
          <t>81 participants</t>
        </is>
      </c>
      <c r="N39" s="32" t="inlineStr">
        <is>
          <t>Polish-speaking young adults</t>
        </is>
      </c>
      <c r="O39" s="32" t="inlineStr">
        <is>
          <t>2-arm RCT</t>
        </is>
      </c>
      <c r="P39" s="32" t="inlineStr">
        <is>
          <t>CBT chatbot</t>
        </is>
      </c>
      <c r="Q39" s="32" t="inlineStr">
        <is>
          <t>Text</t>
        </is>
      </c>
      <c r="R39" s="32" t="inlineStr">
        <is>
          <t>Depression/anxiety</t>
        </is>
      </c>
      <c r="S39" s="32" t="inlineStr">
        <is>
          <t>Clinical scales</t>
        </is>
      </c>
      <c r="T39" s="32" t="inlineStr">
        <is>
          <t>Evaluated Polish-language chatbot efficacy</t>
        </is>
      </c>
      <c r="U39" s="32" t="inlineStr">
        <is>
          <t>Small/short; non-pregnancy population</t>
        </is>
      </c>
      <c r="V39" s="32" t="inlineStr">
        <is>
          <t>Evidence that non-English CA evaluation is feasible</t>
        </is>
      </c>
      <c r="W39" s="32" t="inlineStr">
        <is>
          <t>Sinhala pregnancy CA remains open</t>
        </is>
      </c>
      <c r="X39" s="32" t="inlineStr">
        <is>
          <t>Bilingual evaluation approach</t>
        </is>
      </c>
      <c r="Y39" s="32" t="inlineStr"/>
    </row>
    <row r="40" ht="15.75" customHeight="1" s="24">
      <c r="A40" s="32" t="inlineStr">
        <is>
          <t>T1</t>
        </is>
      </c>
      <c r="B40" s="32" t="inlineStr">
        <is>
          <t>Therapeutic Music &amp; Digital Interventions</t>
        </is>
      </c>
      <c r="C40" s="32" t="inlineStr">
        <is>
          <t>(N/A — not Behavioural Track)</t>
        </is>
      </c>
      <c r="D40" s="32" t="inlineStr">
        <is>
          <t>Extracted</t>
        </is>
      </c>
      <c r="E40" s="32" t="inlineStr">
        <is>
          <t>Tier 1</t>
        </is>
      </c>
      <c r="F40" s="32" t="inlineStr">
        <is>
          <t>Yes</t>
        </is>
      </c>
      <c r="G40" s="32" t="inlineStr">
        <is>
          <t>Lin et al.</t>
        </is>
      </c>
      <c r="H40" s="32" t="inlineStr">
        <is>
          <t>2019</t>
        </is>
      </c>
      <c r="I40" s="32" t="inlineStr">
        <is>
          <t>Music Interventions for Anxiety in Pregnant Women: A Systematic Review and Meta-Analysis of Randomized Controlled Trials</t>
        </is>
      </c>
      <c r="J40" s="32" t="inlineStr">
        <is>
          <t>Journal of Clinical Medicine</t>
        </is>
      </c>
      <c r="K40" s="32" t="inlineStr">
        <is>
          <t>https://doi.org/10.3390/jcm8111884</t>
        </is>
      </c>
      <c r="L40" s="32" t="inlineStr">
        <is>
          <t>Effect of music during pregnancy on anxiety</t>
        </is>
      </c>
      <c r="M40" s="32" t="inlineStr">
        <is>
          <t>11 RCTs, 1482 participants</t>
        </is>
      </c>
      <c r="N40" s="32" t="inlineStr">
        <is>
          <t>Pregnant women</t>
        </is>
      </c>
      <c r="O40" s="32" t="inlineStr">
        <is>
          <t>Systematic review/meta-analysis</t>
        </is>
      </c>
      <c r="P40" s="32" t="inlineStr">
        <is>
          <t>RCT meta-analysis</t>
        </is>
      </c>
      <c r="Q40" s="32" t="inlineStr">
        <is>
          <t>Music</t>
        </is>
      </c>
      <c r="R40" s="32" t="inlineStr">
        <is>
          <t>Anxiety</t>
        </is>
      </c>
      <c r="S40" s="32" t="inlineStr">
        <is>
          <t>SMD</t>
        </is>
      </c>
      <c r="T40" s="32" t="inlineStr">
        <is>
          <t>SMD -0.42 overall; home listening significant</t>
        </is>
      </c>
      <c r="U40" s="32" t="inlineStr">
        <is>
          <t>High heterogeneity</t>
        </is>
      </c>
      <c r="V40" s="32" t="inlineStr">
        <is>
          <t>Supports supportive music recommendation</t>
        </is>
      </c>
      <c r="W40" s="32" t="inlineStr">
        <is>
          <t>Need mood-triggered digital delivery</t>
        </is>
      </c>
      <c r="X40" s="32" t="inlineStr">
        <is>
          <t>Conservative evidence-based wording</t>
        </is>
      </c>
      <c r="Y40" s="32" t="inlineStr"/>
    </row>
    <row r="41" ht="15.75" customHeight="1" s="24">
      <c r="A41" s="32" t="inlineStr">
        <is>
          <t>T2</t>
        </is>
      </c>
      <c r="B41" s="32" t="inlineStr">
        <is>
          <t>Therapeutic Music &amp; Digital Interventions</t>
        </is>
      </c>
      <c r="C41" s="32" t="inlineStr">
        <is>
          <t>(N/A — not Behavioural Track)</t>
        </is>
      </c>
      <c r="D41" s="32" t="inlineStr">
        <is>
          <t>Extracted</t>
        </is>
      </c>
      <c r="E41" s="32" t="inlineStr">
        <is>
          <t>Tier 1</t>
        </is>
      </c>
      <c r="F41" s="32" t="inlineStr">
        <is>
          <t>Yes</t>
        </is>
      </c>
      <c r="G41" s="32" t="inlineStr">
        <is>
          <t>Alder et al.</t>
        </is>
      </c>
      <c r="H41" s="32" t="inlineStr">
        <is>
          <t>2017</t>
        </is>
      </c>
      <c r="I41" s="32" t="inlineStr">
        <is>
          <t>Music interventions to reduce stress and anxiety in pregnancy: a systematic review and meta-analysis</t>
        </is>
      </c>
      <c r="J41" s="32" t="inlineStr">
        <is>
          <t>BMC Psychiatry</t>
        </is>
      </c>
      <c r="K41" s="32" t="inlineStr">
        <is>
          <t>https://doi.org/10.1186/s12888-017-1432-x</t>
        </is>
      </c>
      <c r="L41" s="32" t="inlineStr">
        <is>
          <t>Effect of music-based interventions in pregnancy</t>
        </is>
      </c>
      <c r="M41" s="32" t="inlineStr">
        <is>
          <t>5 studies, 1261 women</t>
        </is>
      </c>
      <c r="N41" s="32" t="inlineStr">
        <is>
          <t>Pregnant women</t>
        </is>
      </c>
      <c r="O41" s="32" t="inlineStr">
        <is>
          <t>Systematic review/meta-analysis</t>
        </is>
      </c>
      <c r="P41" s="32" t="inlineStr">
        <is>
          <t>RCT/quasi-experimental</t>
        </is>
      </c>
      <c r="Q41" s="32" t="inlineStr">
        <is>
          <t>Music</t>
        </is>
      </c>
      <c r="R41" s="32" t="inlineStr">
        <is>
          <t>Anxiety/stress</t>
        </is>
      </c>
      <c r="S41" s="32" t="inlineStr">
        <is>
          <t>SMD</t>
        </is>
      </c>
      <c r="T41" s="32" t="inlineStr">
        <is>
          <t>Anxiety reduced SMD -0.21; stress not significant</t>
        </is>
      </c>
      <c r="U41" s="32" t="inlineStr">
        <is>
          <t>Moderate-weak quality</t>
        </is>
      </c>
      <c r="V41" s="32" t="inlineStr">
        <is>
          <t>Evidence supports anxiety more than stress</t>
        </is>
      </c>
      <c r="W41" s="32" t="inlineStr">
        <is>
          <t>Need targeted digital recommendation</t>
        </is>
      </c>
      <c r="X41" s="32" t="inlineStr">
        <is>
          <t>Do not claim clinical treatment</t>
        </is>
      </c>
      <c r="Y41" s="32" t="inlineStr"/>
    </row>
    <row r="42" ht="15.75" customHeight="1" s="24">
      <c r="A42" s="32" t="inlineStr">
        <is>
          <t>T3</t>
        </is>
      </c>
      <c r="B42" s="32" t="inlineStr">
        <is>
          <t>Therapeutic Music &amp; Digital Interventions</t>
        </is>
      </c>
      <c r="C42" s="32" t="inlineStr">
        <is>
          <t>(N/A — not Behavioural Track)</t>
        </is>
      </c>
      <c r="D42" s="32" t="inlineStr">
        <is>
          <t>Extracted</t>
        </is>
      </c>
      <c r="E42" s="32" t="inlineStr">
        <is>
          <t>Tier 1</t>
        </is>
      </c>
      <c r="F42" s="32" t="inlineStr">
        <is>
          <t>Yes</t>
        </is>
      </c>
      <c r="G42" s="32" t="inlineStr">
        <is>
          <t>Maul et al.</t>
        </is>
      </c>
      <c r="H42" s="32" t="inlineStr">
        <is>
          <t>2024</t>
        </is>
      </c>
      <c r="I42" s="32" t="inlineStr">
        <is>
          <t>Systematic review on music interventions during pregnancy in favor of the well-being of mothers and eventually their offspring</t>
        </is>
      </c>
      <c r="J42" s="32" t="inlineStr">
        <is>
          <t>AJOG MFM</t>
        </is>
      </c>
      <c r="K42" s="32" t="inlineStr">
        <is>
          <t>https://doi.org/10.1016/j.ajogmf.2024.101400</t>
        </is>
      </c>
      <c r="L42" s="32" t="inlineStr">
        <is>
          <t>Identify effects/characteristics of pregnancy music interventions</t>
        </is>
      </c>
      <c r="M42" s="32" t="inlineStr">
        <is>
          <t>14 RCTs, 2375 pregnancies</t>
        </is>
      </c>
      <c r="N42" s="32" t="inlineStr">
        <is>
          <t>Pregnant women</t>
        </is>
      </c>
      <c r="O42" s="32" t="inlineStr">
        <is>
          <t>Systematic review</t>
        </is>
      </c>
      <c r="P42" s="32" t="inlineStr">
        <is>
          <t>RoB2/effect sizes</t>
        </is>
      </c>
      <c r="Q42" s="32" t="inlineStr">
        <is>
          <t>Music</t>
        </is>
      </c>
      <c r="R42" s="32" t="inlineStr">
        <is>
          <t>Stress/anxiety/EPDS/BP</t>
        </is>
      </c>
      <c r="S42" s="32" t="inlineStr">
        <is>
          <t>Effect sizes</t>
        </is>
      </c>
      <c r="T42" s="32" t="inlineStr">
        <is>
          <t>Many studies showed reduced anxiety; evidence quality concerns</t>
        </is>
      </c>
      <c r="U42" s="32" t="inlineStr">
        <is>
          <t>5 high risk, 9 with concerns</t>
        </is>
      </c>
      <c r="V42" s="32" t="inlineStr">
        <is>
          <t>Recent evidence</t>
        </is>
      </c>
      <c r="W42" s="32" t="inlineStr">
        <is>
          <t>Need cautious recommendation framing</t>
        </is>
      </c>
      <c r="X42" s="32" t="inlineStr">
        <is>
          <t>Evidence-based music selection</t>
        </is>
      </c>
      <c r="Y42" s="32" t="inlineStr"/>
    </row>
    <row r="43" ht="15.75" customHeight="1" s="24">
      <c r="A43" s="32" t="inlineStr">
        <is>
          <t>P1</t>
        </is>
      </c>
      <c r="B43" s="32" t="inlineStr">
        <is>
          <t>Privacy / Ethics / On-Device Inference</t>
        </is>
      </c>
      <c r="C43" s="32" t="inlineStr">
        <is>
          <t>(N/A — not Behavioural Track)</t>
        </is>
      </c>
      <c r="D43" s="32" t="inlineStr">
        <is>
          <t>Extracted</t>
        </is>
      </c>
      <c r="E43" s="32" t="inlineStr">
        <is>
          <t>Tier 1</t>
        </is>
      </c>
      <c r="F43" s="32" t="inlineStr">
        <is>
          <t>Yes</t>
        </is>
      </c>
      <c r="G43" s="32" t="inlineStr">
        <is>
          <t>Wang et al.</t>
        </is>
      </c>
      <c r="H43" s="32" t="inlineStr">
        <is>
          <t>2023</t>
        </is>
      </c>
      <c r="I43" s="32" t="inlineStr">
        <is>
          <t>Applications of Federated Learning in Mobile Health: Scoping Review</t>
        </is>
      </c>
      <c r="J43" s="32" t="inlineStr">
        <is>
          <t>JMIR</t>
        </is>
      </c>
      <c r="K43" s="32" t="inlineStr">
        <is>
          <t>https://doi.org/10.2196/43006</t>
        </is>
      </c>
      <c r="L43" s="32" t="inlineStr">
        <is>
          <t>Privacy-preserving ML in mHealth</t>
        </is>
      </c>
      <c r="M43" s="32" t="inlineStr">
        <is>
          <t>26 included studies from 1095</t>
        </is>
      </c>
      <c r="N43" s="32" t="inlineStr">
        <is>
          <t>mHealth</t>
        </is>
      </c>
      <c r="O43" s="32" t="inlineStr">
        <is>
          <t>PRISMA-ScR</t>
        </is>
      </c>
      <c r="P43" s="32" t="inlineStr">
        <is>
          <t>Federated learning</t>
        </is>
      </c>
      <c r="Q43" s="32" t="inlineStr">
        <is>
          <t>Mobile health data</t>
        </is>
      </c>
      <c r="R43" s="32" t="inlineStr">
        <is>
          <t>Privacy/health prediction</t>
        </is>
      </c>
      <c r="S43" s="32" t="inlineStr">
        <is>
          <t>Review</t>
        </is>
      </c>
      <c r="T43" s="32" t="inlineStr">
        <is>
          <t>FL useful but communication/system heterogeneity and privacy leakage remain</t>
        </is>
      </c>
      <c r="U43" s="32" t="inlineStr">
        <is>
          <t>FL not necessarily needed for current system</t>
        </is>
      </c>
      <c r="V43" s="32" t="inlineStr">
        <is>
          <t>Supports minimizing raw data transmission</t>
        </is>
      </c>
      <c r="W43" s="32" t="inlineStr">
        <is>
          <t>On-device inference can be simpler than FL for FER</t>
        </is>
      </c>
      <c r="X43" s="32" t="inlineStr">
        <is>
          <t>Privacy-by-design</t>
        </is>
      </c>
      <c r="Y43" s="32" t="inlineStr"/>
    </row>
    <row r="44" ht="15.75" customHeight="1" s="24">
      <c r="A44" s="32" t="inlineStr">
        <is>
          <t>P2</t>
        </is>
      </c>
      <c r="B44" s="32" t="inlineStr">
        <is>
          <t>Privacy / Ethics / On-Device Inference</t>
        </is>
      </c>
      <c r="C44" s="32" t="inlineStr">
        <is>
          <t>(N/A — not Behavioural Track)</t>
        </is>
      </c>
      <c r="D44" s="32" t="inlineStr">
        <is>
          <t>Extracted</t>
        </is>
      </c>
      <c r="E44" s="32" t="inlineStr">
        <is>
          <t>Tier 1</t>
        </is>
      </c>
      <c r="F44" s="32" t="inlineStr">
        <is>
          <t>Yes</t>
        </is>
      </c>
      <c r="G44" s="32" t="inlineStr">
        <is>
          <t>Sakthivel et al.</t>
        </is>
      </c>
      <c r="H44" s="32" t="inlineStr">
        <is>
          <t>2026</t>
        </is>
      </c>
      <c r="I44" s="32" t="inlineStr">
        <is>
          <t>Federated Learning, Mobile Emotion Recognition, and Client-Side Data Quality: A Survey and Research Agenda</t>
        </is>
      </c>
      <c r="J44" s="32" t="inlineStr">
        <is>
          <t>Preprints.org</t>
        </is>
      </c>
      <c r="K44" s="32" t="inlineStr">
        <is>
          <t>https://www.preprints.org/manuscript/202603.2175</t>
        </is>
      </c>
      <c r="L44" s="32" t="inlineStr">
        <is>
          <t>Mobile emotion recognition privacy/data-quality challenges</t>
        </is>
      </c>
      <c r="M44" s="32" t="inlineStr">
        <is>
          <t>Survey across four strands</t>
        </is>
      </c>
      <c r="N44" s="32" t="inlineStr">
        <is>
          <t>Mobile emotion recognition</t>
        </is>
      </c>
      <c r="O44" s="32" t="inlineStr">
        <is>
          <t>Survey</t>
        </is>
      </c>
      <c r="P44" s="32" t="inlineStr">
        <is>
          <t>FER/edge/FL</t>
        </is>
      </c>
      <c r="Q44" s="32" t="inlineStr">
        <is>
          <t>Face/mobile</t>
        </is>
      </c>
      <c r="R44" s="32" t="inlineStr">
        <is>
          <t>Privacy/data quality</t>
        </is>
      </c>
      <c r="S44" s="32" t="inlineStr">
        <is>
          <t>Review</t>
        </is>
      </c>
      <c r="T44" s="32" t="inlineStr">
        <is>
          <t>Highlights label noise, heterogeneous client data and privacy issues</t>
        </is>
      </c>
      <c r="U44" s="32" t="inlineStr">
        <is>
          <t>Preprint, not peer-reviewed</t>
        </is>
      </c>
      <c r="V44" s="32" t="inlineStr">
        <is>
          <t>Supports on-device/privacy discussion</t>
        </is>
      </c>
      <c r="W44" s="32" t="inlineStr">
        <is>
          <t>Need robust mobile data validation</t>
        </is>
      </c>
      <c r="X44" s="32" t="inlineStr">
        <is>
          <t>Client-side validation</t>
        </is>
      </c>
      <c r="Y44" s="32" t="inlineStr">
        <is>
          <t>Use cautiously</t>
        </is>
      </c>
    </row>
    <row r="45" ht="15.75" customHeight="1" s="24">
      <c r="A45" s="32" t="inlineStr">
        <is>
          <t>B1</t>
        </is>
      </c>
      <c r="B45" s="32" t="inlineStr">
        <is>
          <t>Behavioural Signal Track</t>
        </is>
      </c>
      <c r="C45" s="32" t="inlineStr">
        <is>
          <t>Typing Speed &amp; Emotion</t>
        </is>
      </c>
      <c r="D45" s="32" t="inlineStr">
        <is>
          <t>Extracted</t>
        </is>
      </c>
      <c r="E45" s="32" t="inlineStr">
        <is>
          <t>Tier 1</t>
        </is>
      </c>
      <c r="F45" s="32" t="inlineStr">
        <is>
          <t>Yes</t>
        </is>
      </c>
      <c r="G45" s="32" t="inlineStr">
        <is>
          <t>Epp, C.; Lippold, M.; Mandryk, R.L.</t>
        </is>
      </c>
      <c r="H45" s="32" t="inlineStr">
        <is>
          <t>2011</t>
        </is>
      </c>
      <c r="I45" s="32" t="inlineStr">
        <is>
          <t>Identifying emotional states using keystroke dynamics</t>
        </is>
      </c>
      <c r="J45" s="32" t="inlineStr">
        <is>
          <t>CHI</t>
        </is>
      </c>
      <c r="K45" s="32" t="inlineStr">
        <is>
          <t>https://doi.org/10.1145/1978942.1979046</t>
        </is>
      </c>
      <c r="L45" s="32" t="inlineStr">
        <is>
          <t>Infer emotions from typing rhythm</t>
        </is>
      </c>
      <c r="M45" s="32" t="inlineStr">
        <is>
          <t>Field study with self-reports</t>
        </is>
      </c>
      <c r="N45" s="32" t="inlineStr">
        <is>
          <t>Desktop users</t>
        </is>
      </c>
      <c r="O45" s="32" t="inlineStr">
        <is>
          <t>Keystroke features + classifiers</t>
        </is>
      </c>
      <c r="P45" s="32" t="inlineStr">
        <is>
          <t>Multiple classifiers</t>
        </is>
      </c>
      <c r="Q45" s="32" t="inlineStr">
        <is>
          <t>Keystrokes</t>
        </is>
      </c>
      <c r="R45" s="32" t="inlineStr">
        <is>
          <t>15 emotion states</t>
        </is>
      </c>
      <c r="S45" s="32" t="inlineStr">
        <is>
          <t>Accuracy</t>
        </is>
      </c>
      <c r="T45" s="32" t="inlineStr">
        <is>
          <t>Some 2-level classifiers 77–88%; anger/excitement promising</t>
        </is>
      </c>
      <c r="U45" s="32" t="inlineStr">
        <is>
          <t>Standard keyboard; not mobile/Sinhala</t>
        </is>
      </c>
      <c r="V45" s="32" t="inlineStr">
        <is>
          <t>Direct behavioural evidence</t>
        </is>
      </c>
      <c r="W45" s="32" t="inlineStr">
        <is>
          <t>Generalization to individual mobile pregnancy chats</t>
        </is>
      </c>
      <c r="X45" s="32" t="inlineStr">
        <is>
          <t>Feature candidates</t>
        </is>
      </c>
      <c r="Y45" s="32" t="inlineStr">
        <is>
          <t>Behaviour decision</t>
        </is>
      </c>
    </row>
    <row r="46" ht="15.75" customHeight="1" s="24">
      <c r="A46" s="32" t="inlineStr">
        <is>
          <t>B2</t>
        </is>
      </c>
      <c r="B46" s="32" t="inlineStr">
        <is>
          <t>Behavioural Signal Track</t>
        </is>
      </c>
      <c r="C46" s="32" t="inlineStr">
        <is>
          <t>Typing Speed &amp; Emotion</t>
        </is>
      </c>
      <c r="D46" s="32" t="inlineStr">
        <is>
          <t>Extracted</t>
        </is>
      </c>
      <c r="E46" s="32" t="inlineStr">
        <is>
          <t>Tier 1</t>
        </is>
      </c>
      <c r="F46" s="32" t="inlineStr">
        <is>
          <t>Yes</t>
        </is>
      </c>
      <c r="G46" s="32" t="inlineStr">
        <is>
          <t>Lee et al.</t>
        </is>
      </c>
      <c r="H46" s="32" t="inlineStr">
        <is>
          <t>2015</t>
        </is>
      </c>
      <c r="I46" s="32" t="inlineStr">
        <is>
          <t>The Influence of Emotion on Keyboard Typing: An Experimental Study Using Auditory Stimuli</t>
        </is>
      </c>
      <c r="J46" s="32" t="inlineStr">
        <is>
          <t>PLOS ONE</t>
        </is>
      </c>
      <c r="K46" s="32" t="inlineStr">
        <is>
          <t>https://doi.org/10.1371/journal.pone.0129056</t>
        </is>
      </c>
      <c r="L46" s="32" t="inlineStr">
        <is>
          <t>Quantify emotional effects on typing</t>
        </is>
      </c>
      <c r="M46" s="32" t="inlineStr">
        <is>
          <t>Controlled experiment</t>
        </is>
      </c>
      <c r="N46" s="32" t="inlineStr">
        <is>
          <t>Keyboard users</t>
        </is>
      </c>
      <c r="O46" s="32" t="inlineStr">
        <is>
          <t>Emotion induction + ANOVA</t>
        </is>
      </c>
      <c r="P46" s="32" t="inlineStr">
        <is>
          <t>Statistical analysis</t>
        </is>
      </c>
      <c r="Q46" s="32" t="inlineStr">
        <is>
          <t>Keystrokes</t>
        </is>
      </c>
      <c r="R46" s="32" t="inlineStr">
        <is>
          <t>Arousal/emotion effects</t>
        </is>
      </c>
      <c r="S46" s="32" t="inlineStr">
        <is>
          <t>p-values/effect size</t>
        </is>
      </c>
      <c r="T46" s="32" t="inlineStr">
        <is>
          <t>Duration/latency affected by arousal; effect small vs individual variability</t>
        </is>
      </c>
      <c r="U46" s="32" t="inlineStr">
        <is>
          <t>Controlled standard keyboard</t>
        </is>
      </c>
      <c r="V46" s="32" t="inlineStr">
        <is>
          <t>Key caution against generic fixed weight</t>
        </is>
      </c>
      <c r="W46" s="32" t="inlineStr">
        <is>
          <t>Personalized calibration needed</t>
        </is>
      </c>
      <c r="X46" s="32" t="inlineStr">
        <is>
          <t>Baseline calibration if retained</t>
        </is>
      </c>
      <c r="Y46" s="32" t="inlineStr"/>
    </row>
    <row r="47" ht="15.75" customHeight="1" s="24">
      <c r="A47" s="32" t="inlineStr">
        <is>
          <t>B3</t>
        </is>
      </c>
      <c r="B47" s="32" t="inlineStr">
        <is>
          <t>Behavioural Signal Track</t>
        </is>
      </c>
      <c r="C47" s="32" t="inlineStr">
        <is>
          <t>Typing Speed &amp; Emotion</t>
        </is>
      </c>
      <c r="D47" s="32" t="inlineStr">
        <is>
          <t>Extracted</t>
        </is>
      </c>
      <c r="E47" s="32" t="inlineStr">
        <is>
          <t>Tier 1</t>
        </is>
      </c>
      <c r="F47" s="32" t="inlineStr">
        <is>
          <t>Yes</t>
        </is>
      </c>
      <c r="G47" s="32" t="inlineStr">
        <is>
          <t>Ghosh et al.</t>
        </is>
      </c>
      <c r="H47" s="32" t="inlineStr">
        <is>
          <t>2019</t>
        </is>
      </c>
      <c r="I47" s="32" t="inlineStr">
        <is>
          <t>Emotion detection from touch interactions during text entry on smartphones</t>
        </is>
      </c>
      <c r="J47" s="32" t="inlineStr">
        <is>
          <t>International Journal of Human-Computer Studies</t>
        </is>
      </c>
      <c r="K47" s="32" t="inlineStr">
        <is>
          <t>https://doi.org/10.1016/j.ijhcs.2019.04.005</t>
        </is>
      </c>
      <c r="L47" s="32" t="inlineStr">
        <is>
          <t>Infer emotion from smartphone touch interaction</t>
        </is>
      </c>
      <c r="M47" s="32" t="inlineStr">
        <is>
          <t>22 participants, 3-week study</t>
        </is>
      </c>
      <c r="N47" s="32" t="inlineStr">
        <is>
          <t>Android smartphone users</t>
        </is>
      </c>
      <c r="O47" s="32" t="inlineStr">
        <is>
          <t>Personalized ML + self-report</t>
        </is>
      </c>
      <c r="P47" s="32" t="inlineStr">
        <is>
          <t>Personalized classifiers</t>
        </is>
      </c>
      <c r="Q47" s="32" t="inlineStr">
        <is>
          <t>Typing/swiping</t>
        </is>
      </c>
      <c r="R47" s="32" t="inlineStr">
        <is>
          <t>4 emotion states</t>
        </is>
      </c>
      <c r="S47" s="32" t="inlineStr">
        <is>
          <t>AUCROC</t>
        </is>
      </c>
      <c r="T47" s="32" t="inlineStr">
        <is>
          <t>Average AUCROC 73%, max 87%</t>
        </is>
      </c>
      <c r="U47" s="32" t="inlineStr">
        <is>
          <t>Performance depends heavily on individual training data</t>
        </is>
      </c>
      <c r="V47" s="32" t="inlineStr">
        <is>
          <t>Strong mobile evidence but personalization requirement</t>
        </is>
      </c>
      <c r="W47" s="32" t="inlineStr">
        <is>
          <t>No generic fixed 15% weight</t>
        </is>
      </c>
      <c r="X47" s="32" t="inlineStr">
        <is>
          <t>If retained, personalize and collect self-report</t>
        </is>
      </c>
      <c r="Y47" s="32" t="inlineStr"/>
    </row>
    <row r="48" ht="15.75" customHeight="1" s="24">
      <c r="A48" s="32" t="inlineStr">
        <is>
          <t>B4</t>
        </is>
      </c>
      <c r="B48" s="32" t="inlineStr">
        <is>
          <t>Behavioural Signal Track</t>
        </is>
      </c>
      <c r="C48" s="32" t="inlineStr">
        <is>
          <t>Response Delay &amp; Emotion</t>
        </is>
      </c>
      <c r="D48" s="32" t="inlineStr">
        <is>
          <t>Extracted</t>
        </is>
      </c>
      <c r="E48" s="32" t="inlineStr">
        <is>
          <t>Tier 1</t>
        </is>
      </c>
      <c r="F48" s="32" t="inlineStr">
        <is>
          <t>Yes</t>
        </is>
      </c>
      <c r="G48" s="32" t="inlineStr">
        <is>
          <t>Eisele, G.; Vachon, H.; Myin-Germeys, I.; Viechtbauer, W.</t>
        </is>
      </c>
      <c r="H48" s="32" t="inlineStr">
        <is>
          <t>2021</t>
        </is>
      </c>
      <c r="I48" s="32" t="inlineStr">
        <is>
          <t>Reported Affect Changes as a Function of Response Delay: Findings From a Pooled Dataset of Nine Experience Sampling Studies</t>
        </is>
      </c>
      <c r="J48" s="32" t="inlineStr">
        <is>
          <t>Frontiers in Psychology</t>
        </is>
      </c>
      <c r="K48" s="32" t="inlineStr">
        <is>
          <t>https://doi.org/10.3389/fpsyg.2021.580684</t>
        </is>
      </c>
      <c r="L48" s="32" t="inlineStr">
        <is>
          <t>Study affect changes associated with response delay</t>
        </is>
      </c>
      <c r="M48" s="32" t="inlineStr">
        <is>
          <t>1528 participants pooled</t>
        </is>
      </c>
      <c r="N48" s="32" t="inlineStr">
        <is>
          <t>Experience sampling</t>
        </is>
      </c>
      <c r="O48" s="32" t="inlineStr">
        <is>
          <t>Pooled regression</t>
        </is>
      </c>
      <c r="P48" s="32" t="inlineStr">
        <is>
          <t>Statistical models</t>
        </is>
      </c>
      <c r="Q48" s="32" t="inlineStr">
        <is>
          <t>Response delay</t>
        </is>
      </c>
      <c r="R48" s="32" t="inlineStr">
        <is>
          <t>Affect</t>
        </is>
      </c>
      <c r="S48" s="32" t="inlineStr">
        <is>
          <t>Regression</t>
        </is>
      </c>
      <c r="T48" s="32" t="inlineStr">
        <is>
          <t>Subtle systematic affect changes with delay</t>
        </is>
      </c>
      <c r="U48" s="32" t="inlineStr">
        <is>
          <t>Not a per-message chatbot emotion classifier</t>
        </is>
      </c>
      <c r="V48" s="32" t="inlineStr">
        <is>
          <t>Weak direct support for response delay as mood signal</t>
        </is>
      </c>
      <c r="W48" s="32" t="inlineStr">
        <is>
          <t>Context and individual factors matter</t>
        </is>
      </c>
      <c r="X48" s="32" t="inlineStr">
        <is>
          <t>Exploratory telemetry only</t>
        </is>
      </c>
      <c r="Y48" s="32" t="inlineStr"/>
    </row>
    <row r="49" ht="15.75" customHeight="1" s="24">
      <c r="A49" s="32" t="inlineStr">
        <is>
          <t>B5</t>
        </is>
      </c>
      <c r="B49" s="32" t="inlineStr">
        <is>
          <t>Behavioural Signal Track</t>
        </is>
      </c>
      <c r="C49" s="32" t="inlineStr">
        <is>
          <t>Keystroke/Behavioural Affect (general)</t>
        </is>
      </c>
      <c r="D49" s="32" t="inlineStr">
        <is>
          <t>Extracted</t>
        </is>
      </c>
      <c r="E49" s="32" t="inlineStr">
        <is>
          <t>Tier 1</t>
        </is>
      </c>
      <c r="F49" s="32" t="inlineStr">
        <is>
          <t>Yes</t>
        </is>
      </c>
      <c r="G49" s="32" t="inlineStr">
        <is>
          <t>Kołakowska, A.</t>
        </is>
      </c>
      <c r="H49" s="32" t="inlineStr">
        <is>
          <t>2016</t>
        </is>
      </c>
      <c r="I49" s="32" t="inlineStr">
        <is>
          <t>Towards detecting programmers’ stress on the basis of keystroke dynamics</t>
        </is>
      </c>
      <c r="J49" s="32" t="inlineStr">
        <is>
          <t>ACSIS</t>
        </is>
      </c>
      <c r="K49" s="32" t="inlineStr">
        <is>
          <t>https://doi.org/10.15439/2016F263</t>
        </is>
      </c>
      <c r="L49" s="32" t="inlineStr">
        <is>
          <t>Detect stress from keystroke dynamics</t>
        </is>
      </c>
      <c r="M49" s="32" t="inlineStr">
        <is>
          <t>Student programmer samples</t>
        </is>
      </c>
      <c r="N49" s="32" t="inlineStr">
        <is>
          <t>AI students under time pressure</t>
        </is>
      </c>
      <c r="O49" s="32" t="inlineStr">
        <is>
          <t>Timing/frequency features + statistical analysis</t>
        </is>
      </c>
      <c r="P49" s="32" t="inlineStr">
        <is>
          <t>Statistical feature analysis</t>
        </is>
      </c>
      <c r="Q49" s="32" t="inlineStr">
        <is>
          <t>Keystrokes</t>
        </is>
      </c>
      <c r="R49" s="32" t="inlineStr">
        <is>
          <t>Stress indicators</t>
        </is>
      </c>
      <c r="S49" s="32" t="inlineStr">
        <is>
          <t>Significance tests</t>
        </is>
      </c>
      <c r="T49" s="32" t="inlineStr">
        <is>
          <t>Timing/frequency parameters changed under stress</t>
        </is>
      </c>
      <c r="U49" s="32" t="inlineStr">
        <is>
          <t>Small controlled population</t>
        </is>
      </c>
      <c r="V49" s="32" t="inlineStr">
        <is>
          <t>Supports feasibility but not generalization</t>
        </is>
      </c>
      <c r="W49" s="32" t="inlineStr">
        <is>
          <t>Need mobile/general-population validation</t>
        </is>
      </c>
      <c r="X49" s="32" t="inlineStr">
        <is>
          <t>Feature exploration</t>
        </is>
      </c>
      <c r="Y49" s="32" t="inlineStr"/>
    </row>
    <row r="50" ht="15.75" customHeight="1" s="24">
      <c r="A50" s="32" t="inlineStr">
        <is>
          <t>B6</t>
        </is>
      </c>
      <c r="B50" s="32" t="inlineStr">
        <is>
          <t>Behavioural Signal Track</t>
        </is>
      </c>
      <c r="C50" s="32" t="inlineStr">
        <is>
          <t>Individual- vs Population-Level Inference</t>
        </is>
      </c>
      <c r="D50" s="32" t="inlineStr">
        <is>
          <t>Extracted</t>
        </is>
      </c>
      <c r="E50" s="32" t="inlineStr">
        <is>
          <t>Tier 1</t>
        </is>
      </c>
      <c r="F50" s="32" t="inlineStr">
        <is>
          <t>Yes</t>
        </is>
      </c>
      <c r="G50" s="32" t="inlineStr">
        <is>
          <t>Lau, S.H.</t>
        </is>
      </c>
      <c r="H50" s="32" t="inlineStr">
        <is>
          <t>2018</t>
        </is>
      </c>
      <c r="I50" s="32" t="inlineStr">
        <is>
          <t>Stress Detection for Keystroke Dynamics</t>
        </is>
      </c>
      <c r="J50" s="32" t="inlineStr">
        <is>
          <t>Carnegie Mellon University thesis</t>
        </is>
      </c>
      <c r="K50" s="32" t="inlineStr">
        <is>
          <t>https://kilthub.cmu.edu/articles/thesis/Stress_Detection_for_Keystroke_Dynamics/6723227</t>
        </is>
      </c>
      <c r="L50" s="32" t="inlineStr">
        <is>
          <t>Detect stress unobtrusively from typing rhythms</t>
        </is>
      </c>
      <c r="M50" s="32" t="inlineStr">
        <is>
          <t>Controlled keystroke study</t>
        </is>
      </c>
      <c r="N50" s="32" t="inlineStr">
        <is>
          <t>Standard keyboard users</t>
        </is>
      </c>
      <c r="O50" s="32" t="inlineStr">
        <is>
          <t>Keystroke dynamics analysis</t>
        </is>
      </c>
      <c r="P50" s="32" t="inlineStr">
        <is>
          <t>Stress classifiers/markers</t>
        </is>
      </c>
      <c r="Q50" s="32" t="inlineStr">
        <is>
          <t>Keystrokes</t>
        </is>
      </c>
      <c r="R50" s="32" t="inlineStr">
        <is>
          <t>Stress</t>
        </is>
      </c>
      <c r="S50" s="32" t="inlineStr">
        <is>
          <t>Classification/feature analysis</t>
        </is>
      </c>
      <c r="T50" s="32" t="inlineStr">
        <is>
          <t>Proof-of-concept; controlled protocols</t>
        </is>
      </c>
      <c r="U50" s="32" t="inlineStr">
        <is>
          <t>Author explicitly notes unrealistic controlled conditions and proof-of-concept scope</t>
        </is>
      </c>
      <c r="V50" s="32" t="inlineStr">
        <is>
          <t>Strong caution on real-world generalization</t>
        </is>
      </c>
      <c r="W50" s="32" t="inlineStr">
        <is>
          <t>Mobile/Sinhala context unvalidated</t>
        </is>
      </c>
      <c r="X50" s="32" t="inlineStr">
        <is>
          <t>Only as background</t>
        </is>
      </c>
      <c r="Y50" s="32" t="inlineStr">
        <is>
          <t>Tier 2/3 supporting evidence</t>
        </is>
      </c>
    </row>
    <row r="51" ht="15.75" customHeight="1" s="24">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row>
    <row r="52" ht="15.75" customHeight="1" s="24">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row>
    <row r="53" ht="15.75" customHeight="1" s="24">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row>
    <row r="54" ht="15.75" customHeight="1" s="24">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row>
    <row r="55" ht="15.75" customHeight="1" s="24">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row>
    <row r="56" ht="15.75" customHeight="1" s="24">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row>
    <row r="57" ht="15.75" customHeight="1" s="24">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row>
    <row r="58" ht="15.75" customHeight="1" s="24">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row>
    <row r="59" ht="15.75" customHeight="1" s="24">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row>
    <row r="60" ht="15.75" customHeight="1" s="24">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row>
    <row r="61" ht="15.75" customHeight="1" s="24">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row>
    <row r="62" ht="15.75" customHeight="1" s="24">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row>
    <row r="63" ht="15.75" customHeight="1" s="24">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row>
    <row r="64" ht="15.75" customHeight="1" s="24">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row>
    <row r="65" ht="15.75" customHeight="1" s="24">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row>
    <row r="66" ht="15.75" customHeight="1" s="24">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row>
    <row r="67" ht="15.75" customHeight="1" s="24">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row>
    <row r="68" ht="15.75" customHeight="1" s="24">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row>
    <row r="69" ht="15.75" customHeight="1" s="24">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row>
    <row r="70" ht="15.75" customHeight="1" s="24">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row>
    <row r="71" ht="15.75" customHeight="1" s="24">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row>
    <row r="72" ht="15.75" customHeight="1" s="24">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row>
    <row r="73" ht="15.75" customHeight="1" s="24">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row>
    <row r="74" ht="15.75" customHeight="1" s="24">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row>
    <row r="75" ht="15.75" customHeight="1" s="24">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row>
    <row r="76" ht="15.75" customHeight="1" s="24">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row>
    <row r="77" ht="15.75" customHeight="1" s="24">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row>
    <row r="78" ht="15.75" customHeight="1" s="24">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row>
    <row r="79" ht="15.75" customHeight="1" s="24">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row>
    <row r="80" ht="15.75" customHeight="1" s="24">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row>
  </sheetData>
  <autoFilter ref="A1:Y50"/>
  <dataValidations count="5">
    <dataValidation sqref="B2:B80" showDropDown="0" showInputMessage="0" showErrorMessage="0" allowBlank="1" type="list" errorStyle="stop" operator="between">
      <formula1>Lists!$A$1:$A$12</formula1>
      <formula2>0</formula2>
    </dataValidation>
    <dataValidation sqref="C2:C80" showDropDown="0" showInputMessage="0" showErrorMessage="0" allowBlank="1" type="list" errorStyle="stop" operator="between">
      <formula1>Lists!$B$1:$B$7</formula1>
      <formula2>0</formula2>
    </dataValidation>
    <dataValidation sqref="D2:D80" showDropDown="0" showInputMessage="0" showErrorMessage="0" allowBlank="1" type="list" errorStyle="stop" operator="between">
      <formula1>Lists!$C$1:$C$4</formula1>
      <formula2>0</formula2>
    </dataValidation>
    <dataValidation sqref="E2:E80" showDropDown="0" showInputMessage="0" showErrorMessage="0" allowBlank="1" type="list" errorStyle="stop" operator="between">
      <formula1>Lists!$D$1:$D$3</formula1>
      <formula2>0</formula2>
    </dataValidation>
    <dataValidation sqref="F2:F80" showDropDown="0" showInputMessage="0" showErrorMessage="0" allowBlank="1" type="list" errorStyle="stop" operator="between">
      <formula1>Lists!$E$1:$E$3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4">
      <c r="A1" s="23" t="inlineStr">
        <is>
          <t>Maternal Mental Health / Sri Lanka Context</t>
        </is>
      </c>
      <c r="B1" s="23" t="inlineStr">
        <is>
          <t>(N/A — not Behavioural Track)</t>
        </is>
      </c>
      <c r="C1" s="23" t="inlineStr">
        <is>
          <t>Candidate</t>
        </is>
      </c>
      <c r="D1" s="23" t="inlineStr">
        <is>
          <t>Tier 1</t>
        </is>
      </c>
      <c r="E1" s="23" t="inlineStr">
        <is>
          <t>Yes</t>
        </is>
      </c>
    </row>
    <row r="2" ht="15" customHeight="1" s="24">
      <c r="A2" s="23" t="inlineStr">
        <is>
          <t>Existing Pregnancy-Support &amp; Mental-Health Apps</t>
        </is>
      </c>
      <c r="B2" s="23" t="inlineStr">
        <is>
          <t>Typing Speed &amp; Emotion</t>
        </is>
      </c>
      <c r="C2" s="23" t="inlineStr">
        <is>
          <t>Screened Out</t>
        </is>
      </c>
      <c r="D2" s="23" t="inlineStr">
        <is>
          <t>Tier 2</t>
        </is>
      </c>
      <c r="E2" s="23" t="inlineStr">
        <is>
          <t>No</t>
        </is>
      </c>
    </row>
    <row r="3" ht="15" customHeight="1" s="24">
      <c r="A3" s="23" t="inlineStr">
        <is>
          <t>Conversational Agents for Mental Health</t>
        </is>
      </c>
      <c r="B3" s="23" t="inlineStr">
        <is>
          <t>Response Delay &amp; Emotion</t>
        </is>
      </c>
      <c r="C3" s="23" t="inlineStr">
        <is>
          <t>Extracted</t>
        </is>
      </c>
      <c r="D3" s="23" t="inlineStr">
        <is>
          <t>Tier 3</t>
        </is>
      </c>
      <c r="E3" s="23" t="inlineStr">
        <is>
          <t>Pending</t>
        </is>
      </c>
    </row>
    <row r="4" ht="15" customHeight="1" s="24">
      <c r="A4" s="23" t="inlineStr">
        <is>
          <t>Facial Emotion Recognition (incl. Head-Pose)</t>
        </is>
      </c>
      <c r="B4" s="23" t="inlineStr">
        <is>
          <t>Keystroke/Behavioural Affect (general)</t>
        </is>
      </c>
      <c r="C4" s="23" t="inlineStr">
        <is>
          <t>Cited in Final</t>
        </is>
      </c>
    </row>
    <row r="5" ht="15" customHeight="1" s="24">
      <c r="A5" s="23" t="inlineStr">
        <is>
          <t>English Sentiment / Transformers</t>
        </is>
      </c>
      <c r="B5" s="23" t="inlineStr">
        <is>
          <t>Individual- vs Population-Level Inference</t>
        </is>
      </c>
    </row>
    <row r="6" ht="15" customHeight="1" s="24">
      <c r="A6" s="23" t="inlineStr">
        <is>
          <t>Sinhala / Low-Resource NLP</t>
        </is>
      </c>
      <c r="B6" s="23" t="inlineStr">
        <is>
          <t>Device/Keyboard Confounds</t>
        </is>
      </c>
    </row>
    <row r="7" ht="15" customHeight="1" s="24">
      <c r="A7" s="23" t="inlineStr">
        <is>
          <t>Multimodal Fusion</t>
        </is>
      </c>
      <c r="B7" s="23" t="inlineStr">
        <is>
          <t>Sinhala vs English Typing Differences</t>
        </is>
      </c>
    </row>
    <row r="8" ht="15" customHeight="1" s="24">
      <c r="A8" s="23" t="inlineStr">
        <is>
          <t>Adaptive / Affect-Conditioned Response</t>
        </is>
      </c>
    </row>
    <row r="9" ht="15" customHeight="1" s="24">
      <c r="A9" s="23" t="inlineStr">
        <is>
          <t>Therapeutic Music &amp; Digital Interventions</t>
        </is>
      </c>
    </row>
    <row r="10" ht="15" customHeight="1" s="24">
      <c r="A10" s="23" t="inlineStr">
        <is>
          <t>Privacy / Ethics / On-Device Inference</t>
        </is>
      </c>
    </row>
    <row r="11" ht="15" customHeight="1" s="24">
      <c r="A11" s="23" t="inlineStr">
        <is>
          <t>Behavioural Signal Track</t>
        </is>
      </c>
    </row>
    <row r="12" ht="15" customHeight="1" s="24">
      <c r="A12" s="23" t="inlineStr">
        <is>
          <t>Existing Systems (Section 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16"/>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8" customWidth="1" style="23" min="1" max="1"/>
    <col width="11" customWidth="1" style="23" min="2" max="2"/>
    <col width="18" customWidth="1" style="23" min="3" max="3"/>
    <col width="11" customWidth="1" style="23" min="4" max="4"/>
    <col width="12" customWidth="1" style="23" min="5" max="6"/>
    <col width="14" customWidth="1" style="23" min="7" max="7"/>
    <col width="15" customWidth="1" style="23" min="8" max="8"/>
    <col width="20" customWidth="1" style="23" min="9" max="9"/>
  </cols>
  <sheetData>
    <row r="1" ht="30" customHeight="1" s="24">
      <c r="A1" s="30" t="inlineStr">
        <is>
          <t>Topic</t>
        </is>
      </c>
      <c r="B1" s="30" t="inlineStr">
        <is>
          <t>Min Target</t>
        </is>
      </c>
      <c r="C1" s="30" t="inlineStr">
        <is>
          <t>Recommended Target</t>
        </is>
      </c>
      <c r="D1" s="30" t="inlineStr">
        <is>
          <t>Max Target</t>
        </is>
      </c>
      <c r="E1" s="30" t="inlineStr">
        <is>
          <t># Candidate</t>
        </is>
      </c>
      <c r="F1" s="30" t="inlineStr">
        <is>
          <t># Extracted</t>
        </is>
      </c>
      <c r="G1" s="30" t="inlineStr">
        <is>
          <t># Cited in Final</t>
        </is>
      </c>
      <c r="H1" s="30" t="inlineStr">
        <is>
          <t># Verified = Yes</t>
        </is>
      </c>
      <c r="I1" s="30" t="inlineStr">
        <is>
          <t>Status vs Recommended</t>
        </is>
      </c>
    </row>
    <row r="2" ht="15" customHeight="1" s="24">
      <c r="A2" s="32" t="inlineStr">
        <is>
          <t>Maternal Mental Health / Sri Lanka Context</t>
        </is>
      </c>
      <c r="B2" s="33" t="n">
        <v>4</v>
      </c>
      <c r="C2" s="33" t="n">
        <v>4</v>
      </c>
      <c r="D2" s="33" t="n">
        <v>5</v>
      </c>
      <c r="E2" s="32">
        <f>COUNTIFS('Master Extraction Sheet'!$B$2:$B$80,$A2,'Master Extraction Sheet'!$D$2:$D$80,"Candidate")</f>
        <v/>
      </c>
      <c r="F2" s="32">
        <f>COUNTIFS('Master Extraction Sheet'!$B$2:$B$80,$A2,'Master Extraction Sheet'!$D$2:$D$80,"Extracted")+COUNTIFS('Master Extraction Sheet'!$B$2:$B$80,$A2,'Master Extraction Sheet'!$D$2:$D$80,"Cited in Final")</f>
        <v/>
      </c>
      <c r="G2" s="32">
        <f>COUNTIFS('Master Extraction Sheet'!$B$2:$B$80,$A2,'Master Extraction Sheet'!$D$2:$D$80,"Cited in Final")</f>
        <v/>
      </c>
      <c r="H2" s="32">
        <f>COUNTIFS('Master Extraction Sheet'!$B$2:$B$80,$A2,'Master Extraction Sheet'!$F$2:$F$80,"Yes")</f>
        <v/>
      </c>
      <c r="I2" s="34">
        <f>IF(F2&gt;=C2,"Target met",IF(F2&gt;=B2,"Minimum met",IF(F2=0,"Not started","In progress")))</f>
        <v/>
      </c>
    </row>
    <row r="3" ht="23.85" customHeight="1" s="24">
      <c r="A3" s="32" t="inlineStr">
        <is>
          <t>Existing Pregnancy-Support &amp; Mental-Health Apps</t>
        </is>
      </c>
      <c r="B3" s="33" t="n">
        <v>2</v>
      </c>
      <c r="C3" s="33" t="n">
        <v>2</v>
      </c>
      <c r="D3" s="33" t="n">
        <v>3</v>
      </c>
      <c r="E3" s="32">
        <f>COUNTIFS('Master Extraction Sheet'!$B$2:$B$80,$A3,'Master Extraction Sheet'!$D$2:$D$80,"Candidate")</f>
        <v/>
      </c>
      <c r="F3" s="32">
        <f>COUNTIFS('Master Extraction Sheet'!$B$2:$B$80,$A3,'Master Extraction Sheet'!$D$2:$D$80,"Extracted")+COUNTIFS('Master Extraction Sheet'!$B$2:$B$80,$A3,'Master Extraction Sheet'!$D$2:$D$80,"Cited in Final")</f>
        <v/>
      </c>
      <c r="G3" s="32">
        <f>COUNTIFS('Master Extraction Sheet'!$B$2:$B$80,$A3,'Master Extraction Sheet'!$D$2:$D$80,"Cited in Final")</f>
        <v/>
      </c>
      <c r="H3" s="32">
        <f>COUNTIFS('Master Extraction Sheet'!$B$2:$B$80,$A3,'Master Extraction Sheet'!$F$2:$F$80,"Yes")</f>
        <v/>
      </c>
      <c r="I3" s="34">
        <f>IF(F3&gt;=C3,"Target met",IF(F3&gt;=B3,"Minimum met",IF(F3=0,"Not started","In progress")))</f>
        <v/>
      </c>
    </row>
    <row r="4" ht="15" customHeight="1" s="24">
      <c r="A4" s="32" t="inlineStr">
        <is>
          <t>Conversational Agents for Mental Health</t>
        </is>
      </c>
      <c r="B4" s="33" t="n">
        <v>4</v>
      </c>
      <c r="C4" s="33" t="n">
        <v>5</v>
      </c>
      <c r="D4" s="33" t="n">
        <v>6</v>
      </c>
      <c r="E4" s="32">
        <f>COUNTIFS('Master Extraction Sheet'!$B$2:$B$80,$A4,'Master Extraction Sheet'!$D$2:$D$80,"Candidate")</f>
        <v/>
      </c>
      <c r="F4" s="32">
        <f>COUNTIFS('Master Extraction Sheet'!$B$2:$B$80,$A4,'Master Extraction Sheet'!$D$2:$D$80,"Extracted")+COUNTIFS('Master Extraction Sheet'!$B$2:$B$80,$A4,'Master Extraction Sheet'!$D$2:$D$80,"Cited in Final")</f>
        <v/>
      </c>
      <c r="G4" s="32">
        <f>COUNTIFS('Master Extraction Sheet'!$B$2:$B$80,$A4,'Master Extraction Sheet'!$D$2:$D$80,"Cited in Final")</f>
        <v/>
      </c>
      <c r="H4" s="32">
        <f>COUNTIFS('Master Extraction Sheet'!$B$2:$B$80,$A4,'Master Extraction Sheet'!$F$2:$F$80,"Yes")</f>
        <v/>
      </c>
      <c r="I4" s="34">
        <f>IF(F4&gt;=C4,"Target met",IF(F4&gt;=B4,"Minimum met",IF(F4=0,"Not started","In progress")))</f>
        <v/>
      </c>
    </row>
    <row r="5" ht="15" customHeight="1" s="24">
      <c r="A5" s="32" t="inlineStr">
        <is>
          <t>Facial Emotion Recognition (incl. Head-Pose)</t>
        </is>
      </c>
      <c r="B5" s="33" t="n">
        <v>5</v>
      </c>
      <c r="C5" s="33" t="n">
        <v>6</v>
      </c>
      <c r="D5" s="33" t="n">
        <v>7</v>
      </c>
      <c r="E5" s="32">
        <f>COUNTIFS('Master Extraction Sheet'!$B$2:$B$80,$A5,'Master Extraction Sheet'!$D$2:$D$80,"Candidate")</f>
        <v/>
      </c>
      <c r="F5" s="32">
        <f>COUNTIFS('Master Extraction Sheet'!$B$2:$B$80,$A5,'Master Extraction Sheet'!$D$2:$D$80,"Extracted")+COUNTIFS('Master Extraction Sheet'!$B$2:$B$80,$A5,'Master Extraction Sheet'!$D$2:$D$80,"Cited in Final")</f>
        <v/>
      </c>
      <c r="G5" s="32">
        <f>COUNTIFS('Master Extraction Sheet'!$B$2:$B$80,$A5,'Master Extraction Sheet'!$D$2:$D$80,"Cited in Final")</f>
        <v/>
      </c>
      <c r="H5" s="32">
        <f>COUNTIFS('Master Extraction Sheet'!$B$2:$B$80,$A5,'Master Extraction Sheet'!$F$2:$F$80,"Yes")</f>
        <v/>
      </c>
      <c r="I5" s="34">
        <f>IF(F5&gt;=C5,"Target met",IF(F5&gt;=B5,"Minimum met",IF(F5=0,"Not started","In progress")))</f>
        <v/>
      </c>
    </row>
    <row r="6" ht="15" customHeight="1" s="24">
      <c r="A6" s="32" t="inlineStr">
        <is>
          <t>English Sentiment / Transformers</t>
        </is>
      </c>
      <c r="B6" s="33" t="n">
        <v>3</v>
      </c>
      <c r="C6" s="33" t="n">
        <v>4</v>
      </c>
      <c r="D6" s="33" t="n">
        <v>4</v>
      </c>
      <c r="E6" s="32">
        <f>COUNTIFS('Master Extraction Sheet'!$B$2:$B$80,$A6,'Master Extraction Sheet'!$D$2:$D$80,"Candidate")</f>
        <v/>
      </c>
      <c r="F6" s="32">
        <f>COUNTIFS('Master Extraction Sheet'!$B$2:$B$80,$A6,'Master Extraction Sheet'!$D$2:$D$80,"Extracted")+COUNTIFS('Master Extraction Sheet'!$B$2:$B$80,$A6,'Master Extraction Sheet'!$D$2:$D$80,"Cited in Final")</f>
        <v/>
      </c>
      <c r="G6" s="32">
        <f>COUNTIFS('Master Extraction Sheet'!$B$2:$B$80,$A6,'Master Extraction Sheet'!$D$2:$D$80,"Cited in Final")</f>
        <v/>
      </c>
      <c r="H6" s="32">
        <f>COUNTIFS('Master Extraction Sheet'!$B$2:$B$80,$A6,'Master Extraction Sheet'!$F$2:$F$80,"Yes")</f>
        <v/>
      </c>
      <c r="I6" s="34">
        <f>IF(F6&gt;=C6,"Target met",IF(F6&gt;=B6,"Minimum met",IF(F6=0,"Not started","In progress")))</f>
        <v/>
      </c>
    </row>
    <row r="7" ht="15" customHeight="1" s="24">
      <c r="A7" s="32" t="inlineStr">
        <is>
          <t>Sinhala / Low-Resource NLP</t>
        </is>
      </c>
      <c r="B7" s="33" t="n">
        <v>5</v>
      </c>
      <c r="C7" s="33" t="n">
        <v>6</v>
      </c>
      <c r="D7" s="33" t="n">
        <v>7</v>
      </c>
      <c r="E7" s="32">
        <f>COUNTIFS('Master Extraction Sheet'!$B$2:$B$80,$A7,'Master Extraction Sheet'!$D$2:$D$80,"Candidate")</f>
        <v/>
      </c>
      <c r="F7" s="32">
        <f>COUNTIFS('Master Extraction Sheet'!$B$2:$B$80,$A7,'Master Extraction Sheet'!$D$2:$D$80,"Extracted")+COUNTIFS('Master Extraction Sheet'!$B$2:$B$80,$A7,'Master Extraction Sheet'!$D$2:$D$80,"Cited in Final")</f>
        <v/>
      </c>
      <c r="G7" s="32">
        <f>COUNTIFS('Master Extraction Sheet'!$B$2:$B$80,$A7,'Master Extraction Sheet'!$D$2:$D$80,"Cited in Final")</f>
        <v/>
      </c>
      <c r="H7" s="32">
        <f>COUNTIFS('Master Extraction Sheet'!$B$2:$B$80,$A7,'Master Extraction Sheet'!$F$2:$F$80,"Yes")</f>
        <v/>
      </c>
      <c r="I7" s="34">
        <f>IF(F7&gt;=C7,"Target met",IF(F7&gt;=B7,"Minimum met",IF(F7=0,"Not started","In progress")))</f>
        <v/>
      </c>
    </row>
    <row r="8" ht="15" customHeight="1" s="24">
      <c r="A8" s="32" t="inlineStr">
        <is>
          <t>Multimodal Fusion</t>
        </is>
      </c>
      <c r="B8" s="33" t="n">
        <v>4</v>
      </c>
      <c r="C8" s="33" t="n">
        <v>4</v>
      </c>
      <c r="D8" s="33" t="n">
        <v>5</v>
      </c>
      <c r="E8" s="32">
        <f>COUNTIFS('Master Extraction Sheet'!$B$2:$B$80,$A8,'Master Extraction Sheet'!$D$2:$D$80,"Candidate")</f>
        <v/>
      </c>
      <c r="F8" s="32">
        <f>COUNTIFS('Master Extraction Sheet'!$B$2:$B$80,$A8,'Master Extraction Sheet'!$D$2:$D$80,"Extracted")+COUNTIFS('Master Extraction Sheet'!$B$2:$B$80,$A8,'Master Extraction Sheet'!$D$2:$D$80,"Cited in Final")</f>
        <v/>
      </c>
      <c r="G8" s="32">
        <f>COUNTIFS('Master Extraction Sheet'!$B$2:$B$80,$A8,'Master Extraction Sheet'!$D$2:$D$80,"Cited in Final")</f>
        <v/>
      </c>
      <c r="H8" s="32">
        <f>COUNTIFS('Master Extraction Sheet'!$B$2:$B$80,$A8,'Master Extraction Sheet'!$F$2:$F$80,"Yes")</f>
        <v/>
      </c>
      <c r="I8" s="34">
        <f>IF(F8&gt;=C8,"Target met",IF(F8&gt;=B8,"Minimum met",IF(F8=0,"Not started","In progress")))</f>
        <v/>
      </c>
    </row>
    <row r="9" ht="15" customHeight="1" s="24">
      <c r="A9" s="32" t="inlineStr">
        <is>
          <t>Adaptive / Affect-Conditioned Response</t>
        </is>
      </c>
      <c r="B9" s="33" t="n">
        <v>3</v>
      </c>
      <c r="C9" s="33" t="n">
        <v>4</v>
      </c>
      <c r="D9" s="33" t="n">
        <v>4</v>
      </c>
      <c r="E9" s="32">
        <f>COUNTIFS('Master Extraction Sheet'!$B$2:$B$80,$A9,'Master Extraction Sheet'!$D$2:$D$80,"Candidate")</f>
        <v/>
      </c>
      <c r="F9" s="32">
        <f>COUNTIFS('Master Extraction Sheet'!$B$2:$B$80,$A9,'Master Extraction Sheet'!$D$2:$D$80,"Extracted")+COUNTIFS('Master Extraction Sheet'!$B$2:$B$80,$A9,'Master Extraction Sheet'!$D$2:$D$80,"Cited in Final")</f>
        <v/>
      </c>
      <c r="G9" s="32">
        <f>COUNTIFS('Master Extraction Sheet'!$B$2:$B$80,$A9,'Master Extraction Sheet'!$D$2:$D$80,"Cited in Final")</f>
        <v/>
      </c>
      <c r="H9" s="32">
        <f>COUNTIFS('Master Extraction Sheet'!$B$2:$B$80,$A9,'Master Extraction Sheet'!$F$2:$F$80,"Yes")</f>
        <v/>
      </c>
      <c r="I9" s="34">
        <f>IF(F9&gt;=C9,"Target met",IF(F9&gt;=B9,"Minimum met",IF(F9=0,"Not started","In progress")))</f>
        <v/>
      </c>
    </row>
    <row r="10" ht="15" customHeight="1" s="24">
      <c r="A10" s="32" t="inlineStr">
        <is>
          <t>Therapeutic Music &amp; Digital Interventions</t>
        </is>
      </c>
      <c r="B10" s="33" t="n">
        <v>2</v>
      </c>
      <c r="C10" s="33" t="n">
        <v>2</v>
      </c>
      <c r="D10" s="33" t="n">
        <v>3</v>
      </c>
      <c r="E10" s="32">
        <f>COUNTIFS('Master Extraction Sheet'!$B$2:$B$80,$A10,'Master Extraction Sheet'!$D$2:$D$80,"Candidate")</f>
        <v/>
      </c>
      <c r="F10" s="32">
        <f>COUNTIFS('Master Extraction Sheet'!$B$2:$B$80,$A10,'Master Extraction Sheet'!$D$2:$D$80,"Extracted")+COUNTIFS('Master Extraction Sheet'!$B$2:$B$80,$A10,'Master Extraction Sheet'!$D$2:$D$80,"Cited in Final")</f>
        <v/>
      </c>
      <c r="G10" s="32">
        <f>COUNTIFS('Master Extraction Sheet'!$B$2:$B$80,$A10,'Master Extraction Sheet'!$D$2:$D$80,"Cited in Final")</f>
        <v/>
      </c>
      <c r="H10" s="32">
        <f>COUNTIFS('Master Extraction Sheet'!$B$2:$B$80,$A10,'Master Extraction Sheet'!$F$2:$F$80,"Yes")</f>
        <v/>
      </c>
      <c r="I10" s="34">
        <f>IF(F10&gt;=C10,"Target met",IF(F10&gt;=B10,"Minimum met",IF(F10=0,"Not started","In progress")))</f>
        <v/>
      </c>
    </row>
    <row r="11" ht="15" customHeight="1" s="24">
      <c r="A11" s="32" t="inlineStr">
        <is>
          <t>Privacy / Ethics / On-Device Inference</t>
        </is>
      </c>
      <c r="B11" s="33" t="n">
        <v>2</v>
      </c>
      <c r="C11" s="33" t="n">
        <v>2</v>
      </c>
      <c r="D11" s="33" t="n">
        <v>3</v>
      </c>
      <c r="E11" s="32">
        <f>COUNTIFS('Master Extraction Sheet'!$B$2:$B$80,$A11,'Master Extraction Sheet'!$D$2:$D$80,"Candidate")</f>
        <v/>
      </c>
      <c r="F11" s="32">
        <f>COUNTIFS('Master Extraction Sheet'!$B$2:$B$80,$A11,'Master Extraction Sheet'!$D$2:$D$80,"Extracted")+COUNTIFS('Master Extraction Sheet'!$B$2:$B$80,$A11,'Master Extraction Sheet'!$D$2:$D$80,"Cited in Final")</f>
        <v/>
      </c>
      <c r="G11" s="32">
        <f>COUNTIFS('Master Extraction Sheet'!$B$2:$B$80,$A11,'Master Extraction Sheet'!$D$2:$D$80,"Cited in Final")</f>
        <v/>
      </c>
      <c r="H11" s="32">
        <f>COUNTIFS('Master Extraction Sheet'!$B$2:$B$80,$A11,'Master Extraction Sheet'!$F$2:$F$80,"Yes")</f>
        <v/>
      </c>
      <c r="I11" s="34">
        <f>IF(F11&gt;=C11,"Target met",IF(F11&gt;=B11,"Minimum met",IF(F11=0,"Not started","In progress")))</f>
        <v/>
      </c>
    </row>
    <row r="12" ht="15" customHeight="1" s="24">
      <c r="A12" s="32" t="inlineStr">
        <is>
          <t>Behavioural Signal Track</t>
        </is>
      </c>
      <c r="B12" s="33" t="n">
        <v>4</v>
      </c>
      <c r="C12" s="33" t="n">
        <v>5</v>
      </c>
      <c r="D12" s="33" t="n">
        <v>6</v>
      </c>
      <c r="E12" s="32">
        <f>COUNTIFS('Master Extraction Sheet'!$B$2:$B$80,$A12,'Master Extraction Sheet'!$D$2:$D$80,"Candidate")</f>
        <v/>
      </c>
      <c r="F12" s="32">
        <f>COUNTIFS('Master Extraction Sheet'!$B$2:$B$80,$A12,'Master Extraction Sheet'!$D$2:$D$80,"Extracted")+COUNTIFS('Master Extraction Sheet'!$B$2:$B$80,$A12,'Master Extraction Sheet'!$D$2:$D$80,"Cited in Final")</f>
        <v/>
      </c>
      <c r="G12" s="32">
        <f>COUNTIFS('Master Extraction Sheet'!$B$2:$B$80,$A12,'Master Extraction Sheet'!$D$2:$D$80,"Cited in Final")</f>
        <v/>
      </c>
      <c r="H12" s="32">
        <f>COUNTIFS('Master Extraction Sheet'!$B$2:$B$80,$A12,'Master Extraction Sheet'!$F$2:$F$80,"Yes")</f>
        <v/>
      </c>
      <c r="I12" s="34">
        <f>IF(F12&gt;=C12,"Target met",IF(F12&gt;=B12,"Minimum met",IF(F12=0,"Not started","In progress")))</f>
        <v/>
      </c>
    </row>
    <row r="13" ht="15" customHeight="1" s="24">
      <c r="A13" s="32" t="inlineStr">
        <is>
          <t>Existing Systems (Section H)</t>
        </is>
      </c>
      <c r="B13" s="33" t="n">
        <v>9</v>
      </c>
      <c r="C13" s="33" t="n">
        <v>10</v>
      </c>
      <c r="D13" s="33" t="n">
        <v>12</v>
      </c>
      <c r="E13" s="32">
        <f>COUNTIFS('Master Extraction Sheet'!$B$2:$B$80,$A13,'Master Extraction Sheet'!$D$2:$D$80,"Candidate")</f>
        <v/>
      </c>
      <c r="F13" s="32">
        <f>COUNTIFS('Master Extraction Sheet'!$B$2:$B$80,$A13,'Master Extraction Sheet'!$D$2:$D$80,"Extracted")+COUNTIFS('Master Extraction Sheet'!$B$2:$B$80,$A13,'Master Extraction Sheet'!$D$2:$D$80,"Cited in Final")</f>
        <v/>
      </c>
      <c r="G13" s="32">
        <f>COUNTIFS('Master Extraction Sheet'!$B$2:$B$80,$A13,'Master Extraction Sheet'!$D$2:$D$80,"Cited in Final")</f>
        <v/>
      </c>
      <c r="H13" s="32">
        <f>COUNTIFS('Master Extraction Sheet'!$B$2:$B$80,$A13,'Master Extraction Sheet'!$F$2:$F$80,"Yes")</f>
        <v/>
      </c>
      <c r="I13" s="34">
        <f>IF(F13&gt;=C13,"Target met",IF(F13&gt;=B13,"Minimum met",IF(F13=0,"Not started","In progress")))</f>
        <v/>
      </c>
    </row>
    <row r="14" ht="15" customHeight="1" s="24">
      <c r="A14" s="35" t="inlineStr">
        <is>
          <t>TOTAL</t>
        </is>
      </c>
      <c r="B14" s="35">
        <f>SUM(B2:B13)</f>
        <v/>
      </c>
      <c r="C14" s="35">
        <f>SUM(C2:C13)</f>
        <v/>
      </c>
      <c r="D14" s="35">
        <f>SUM(D2:D13)</f>
        <v/>
      </c>
      <c r="E14" s="35">
        <f>COUNTIFS('Master Extraction Sheet'!$B$2:$B$80,$A14,'Master Extraction Sheet'!$D$2:$D$80,"Candidate")</f>
        <v/>
      </c>
      <c r="F14" s="35">
        <f>COUNTIFS('Master Extraction Sheet'!$B$2:$B$80,$A14,'Master Extraction Sheet'!$D$2:$D$80,"Extracted")+COUNTIFS('Master Extraction Sheet'!$B$2:$B$80,$A14,'Master Extraction Sheet'!$D$2:$D$80,"Cited in Final")</f>
        <v/>
      </c>
      <c r="G14" s="35">
        <f>COUNTIFS('Master Extraction Sheet'!$B$2:$B$80,$A14,'Master Extraction Sheet'!$D$2:$D$80,"Cited in Final")</f>
        <v/>
      </c>
      <c r="H14" s="35">
        <f>COUNTIFS('Master Extraction Sheet'!$B$2:$B$80,$A14,'Master Extraction Sheet'!$F$2:$F$80,"Yes")</f>
        <v/>
      </c>
      <c r="I14" s="36">
        <f>IF(F14&gt;=C14,"Target met",IF(F14&gt;=B14,"Minimum met",IF(F14=0,"Not started","In progress")))</f>
        <v/>
      </c>
    </row>
    <row r="15">
      <c r="A15" s="36" t="n"/>
      <c r="B15" s="36" t="n"/>
      <c r="C15" s="36" t="n"/>
      <c r="D15" s="36" t="n"/>
      <c r="E15" s="36" t="n"/>
      <c r="F15" s="36" t="n"/>
      <c r="G15" s="36" t="n"/>
      <c r="H15" s="36" t="n"/>
      <c r="I15" s="36" t="n"/>
    </row>
    <row r="16" ht="27.75" customHeight="1" s="24">
      <c r="A16" s="37" t="inlineStr">
        <is>
          <t>Blue cells are fixed targets from the Master Plan (Section C/G/H) — do not edit unless scope changes. All other numbers recalculate automatically from the Master Extraction Sheet.</t>
        </is>
      </c>
      <c r="B16" s="36" t="n"/>
      <c r="C16" s="36" t="n"/>
      <c r="D16" s="36" t="n"/>
      <c r="E16" s="36" t="n"/>
      <c r="F16" s="36" t="n"/>
      <c r="G16" s="36" t="n"/>
      <c r="H16" s="36" t="n"/>
      <c r="I16" s="36" t="n"/>
    </row>
  </sheetData>
  <mergeCells count="1">
    <mergeCell ref="A16:I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23" min="1" max="1"/>
    <col width="42" customWidth="1" style="23" min="2" max="2"/>
    <col width="12" customWidth="1" style="23" min="3" max="3"/>
    <col width="22" customWidth="1" style="23" min="4" max="4"/>
    <col width="34" customWidth="1" style="23" min="5" max="5"/>
  </cols>
  <sheetData>
    <row r="1" ht="17.35" customHeight="1" s="24">
      <c r="A1" s="38" t="inlineStr">
        <is>
          <t>Behavioural Signal Decision Track (Master Plan Section G)</t>
        </is>
      </c>
      <c r="B1" s="38" t="n"/>
      <c r="C1" s="38" t="n"/>
      <c r="D1" s="38" t="n"/>
      <c r="E1" s="38" t="n"/>
    </row>
    <row r="2" ht="27.75" customHeight="1" s="24">
      <c r="A2" s="39" t="inlineStr">
        <is>
          <t>Resolve this before finalizing §3.2.6 fusion methodology. Papers logged here should use Topic = 'Behavioural Signal Track' in the Master Extraction Sheet, with the matching Sub-topic value.</t>
        </is>
      </c>
      <c r="B2" s="36" t="n"/>
      <c r="C2" s="36" t="n"/>
      <c r="D2" s="36" t="n"/>
      <c r="E2" s="36" t="n"/>
    </row>
    <row r="3">
      <c r="A3" s="36" t="n"/>
      <c r="B3" s="36" t="n"/>
      <c r="C3" s="36" t="n"/>
      <c r="D3" s="36" t="n"/>
      <c r="E3" s="36" t="n"/>
    </row>
    <row r="4" ht="30" customHeight="1" s="24">
      <c r="A4" s="40" t="inlineStr">
        <is>
          <t>Sub-topic</t>
        </is>
      </c>
      <c r="B4" s="40" t="inlineStr">
        <is>
          <t>Question to Answer</t>
        </is>
      </c>
      <c r="C4" s="40" t="inlineStr">
        <is>
          <t>Target Papers</t>
        </is>
      </c>
      <c r="D4" s="40" t="inlineStr">
        <is>
          <t># Extracted (auto)</t>
        </is>
      </c>
      <c r="E4" s="40" t="inlineStr">
        <is>
          <t>Finding (fill in once resolved)</t>
        </is>
      </c>
    </row>
    <row r="5" ht="45.75" customHeight="1" s="24">
      <c r="A5" s="32" t="inlineStr">
        <is>
          <t>Typing Speed &amp; Emotion</t>
        </is>
      </c>
      <c r="B5" s="32" t="inlineStr">
        <is>
          <t>Does typing speed predict mood at the individual/message level, or only population-level?</t>
        </is>
      </c>
      <c r="C5" s="32" t="inlineStr">
        <is>
          <t>1–2</t>
        </is>
      </c>
      <c r="D5" s="32">
        <f>COUNTIFS('Master Extraction Sheet'!$C$2:$C$80,A5,'Master Extraction Sheet'!$D$2:$D$80,"Extracted")+COUNTIFS('Master Extraction Sheet'!$C$2:$C$80,A5,'Master Extraction Sheet'!$D$2:$D$80,"Cited in Final")</f>
        <v/>
      </c>
      <c r="E5" s="32" t="inlineStr">
        <is>
          <t>Evidence exists, but effects are sensitive to individual variability; generic fixed weighting is weakly justified.</t>
        </is>
      </c>
    </row>
    <row r="6" ht="45.75" customHeight="1" s="24">
      <c r="A6" s="32" t="inlineStr">
        <is>
          <t>Response Delay &amp; Emotion</t>
        </is>
      </c>
      <c r="B6" s="32" t="inlineStr">
        <is>
          <t>Same individual-vs-population distinction, for inter-message response latency</t>
        </is>
      </c>
      <c r="C6" s="32" t="inlineStr">
        <is>
          <t>1–2</t>
        </is>
      </c>
      <c r="D6" s="32">
        <f>COUNTIFS('Master Extraction Sheet'!$C$2:$C$80,A6,'Master Extraction Sheet'!$D$2:$D$80,"Extracted")+COUNTIFS('Master Extraction Sheet'!$C$2:$C$80,A6,'Master Extraction Sheet'!$D$2:$D$80,"Cited in Final")</f>
        <v/>
      </c>
      <c r="E6" s="32" t="inlineStr">
        <is>
          <t>Evidence shows associations with affect, but not a validated per-message mood classifier in this pregnancy-chat context.</t>
        </is>
      </c>
    </row>
    <row r="7" ht="45.75" customHeight="1" s="24">
      <c r="A7" s="32" t="inlineStr">
        <is>
          <t>Keystroke/Behavioural Affect (general)</t>
        </is>
      </c>
      <c r="B7" s="32" t="inlineStr">
        <is>
          <t>Best reported accuracy for behaviour-only affect classification, and under what conditions?</t>
        </is>
      </c>
      <c r="C7" s="32" t="inlineStr">
        <is>
          <t>1–2</t>
        </is>
      </c>
      <c r="D7" s="32">
        <f>COUNTIFS('Master Extraction Sheet'!$C$2:$C$80,A7,'Master Extraction Sheet'!$D$2:$D$80,"Extracted")+COUNTIFS('Master Extraction Sheet'!$C$2:$C$80,A7,'Master Extraction Sheet'!$D$2:$D$80,"Cited in Final")</f>
        <v/>
      </c>
      <c r="E7" s="32" t="inlineStr">
        <is>
          <t>Smartphone evidence is promising but strongly favors personalized models and self-report calibration.</t>
        </is>
      </c>
    </row>
    <row r="8" ht="45.75" customHeight="1" s="24">
      <c r="A8" s="32" t="inlineStr">
        <is>
          <t>Individual- vs Population-Level Inference</t>
        </is>
      </c>
      <c r="B8" s="32" t="inlineStr">
        <is>
          <t>Does ANY paper validate behavioural signals as a real-time per-instance classifier with reported accuracy?</t>
        </is>
      </c>
      <c r="C8" s="32" t="inlineStr">
        <is>
          <t>cross-check above</t>
        </is>
      </c>
      <c r="D8" s="32">
        <f>COUNTIFS('Master Extraction Sheet'!$C$2:$C$80,A8,'Master Extraction Sheet'!$D$2:$D$80,"Extracted")+COUNTIFS('Master Extraction Sheet'!$C$2:$C$80,A8,'Master Extraction Sheet'!$D$2:$D$80,"Cited in Final")</f>
        <v/>
      </c>
      <c r="E8" s="32" t="inlineStr">
        <is>
          <t>No strong evidence found here for a generic, pregnancy-specific, individual-level response-delay/typing classifier suitable for a fixed 15% fusion weight.</t>
        </is>
      </c>
    </row>
    <row r="9" ht="45.75" customHeight="1" s="24">
      <c r="A9" s="32" t="inlineStr">
        <is>
          <t>Device/Keyboard Confounds</t>
        </is>
      </c>
      <c r="B9" s="32" t="inlineStr">
        <is>
          <t>Has any study controlled for device/keyboard/IME/connection speed when measuring typing-based affect?</t>
        </is>
      </c>
      <c r="C9" s="32" t="inlineStr">
        <is>
          <t>1</t>
        </is>
      </c>
      <c r="D9" s="32">
        <f>COUNTIFS('Master Extraction Sheet'!$C$2:$C$80,A9,'Master Extraction Sheet'!$D$2:$D$80,"Extracted")+COUNTIFS('Master Extraction Sheet'!$C$2:$C$80,A9,'Master Extraction Sheet'!$D$2:$D$80,"Cited in Final")</f>
        <v/>
      </c>
      <c r="E9" s="32" t="n"/>
    </row>
    <row r="10" ht="45.75" customHeight="1" s="24">
      <c r="A10" s="32" t="inlineStr">
        <is>
          <t>Sinhala vs English Typing Differences</t>
        </is>
      </c>
      <c r="B10" s="32" t="inlineStr">
        <is>
          <t>Is there a published baseline for Sinhala Unicode typing speed vs English, independent of mood?</t>
        </is>
      </c>
      <c r="C10" s="32" t="inlineStr">
        <is>
          <t>0–1 (absence itself is a finding)</t>
        </is>
      </c>
      <c r="D10" s="32">
        <f>COUNTIFS('Master Extraction Sheet'!$C$2:$C$80,A10,'Master Extraction Sheet'!$D$2:$D$80,"Extracted")+COUNTIFS('Master Extraction Sheet'!$C$2:$C$80,A10,'Master Extraction Sheet'!$D$2:$D$80,"Cited in Final")</f>
        <v/>
      </c>
      <c r="E10" s="32" t="n"/>
    </row>
    <row r="11">
      <c r="A11" s="36" t="n"/>
      <c r="B11" s="36" t="n"/>
      <c r="C11" s="36" t="n"/>
      <c r="D11" s="36" t="n"/>
      <c r="E11" s="36" t="n"/>
    </row>
    <row r="12" ht="15" customHeight="1" s="24">
      <c r="A12" s="41" t="inlineStr">
        <is>
          <t>Decision Rule</t>
        </is>
      </c>
      <c r="B12" s="36" t="n"/>
      <c r="C12" s="36" t="n"/>
      <c r="D12" s="36" t="n"/>
      <c r="E12" s="36" t="n"/>
    </row>
    <row r="13" ht="30" customHeight="1" s="24">
      <c r="A13" s="42" t="inlineStr">
        <is>
          <t>1. If ≥2 Tier 1/2 sources show individual-level, per-instance validated behavioural affect classification with a reported accuracy metric → KEEP in fusion, using that metric to justify a defensible weight.</t>
        </is>
      </c>
      <c r="B13" s="36" t="n"/>
      <c r="C13" s="36" t="n"/>
      <c r="D13" s="36" t="n"/>
      <c r="E13" s="36" t="n"/>
    </row>
    <row r="14" ht="30" customHeight="1" s="24">
      <c r="A14" s="42" t="inlineStr">
        <is>
          <t>2. If evidence found is exclusively population-level/correlational → REMOVE from fused mood score; retain as logged, unfused telemetry only.</t>
        </is>
      </c>
      <c r="B14" s="36" t="n"/>
      <c r="C14" s="36" t="n"/>
      <c r="D14" s="36" t="n"/>
      <c r="E14" s="36" t="n"/>
    </row>
    <row r="15" ht="30" customHeight="1" s="24">
      <c r="A15" s="42" t="inlineStr">
        <is>
          <t>3. If evidence is genuinely mixed or thin → default to telemetry-only. An unvalidated signal shaping responses to a vulnerable population carries more downside than the upside of keeping a weak signal in fusion.</t>
        </is>
      </c>
      <c r="B15" s="36" t="n"/>
      <c r="C15" s="36" t="n"/>
      <c r="D15" s="36" t="n"/>
      <c r="E15" s="36" t="n"/>
    </row>
    <row r="16">
      <c r="A16" s="36" t="n"/>
      <c r="B16" s="36" t="n"/>
      <c r="C16" s="36" t="n"/>
      <c r="D16" s="36" t="n"/>
      <c r="E16" s="36" t="n"/>
    </row>
    <row r="17" ht="19.5" customHeight="1" s="24">
      <c r="A17" s="43" t="inlineStr">
        <is>
          <t>FINAL DECISION (fill in once track is complete)</t>
        </is>
      </c>
      <c r="B17" s="36" t="n"/>
      <c r="C17" s="44" t="inlineStr">
        <is>
          <t>[ KEEP / REMOVE / TELEMETRY-ONLY ]</t>
        </is>
      </c>
      <c r="D17" s="36" t="n"/>
      <c r="E17" s="36" t="n"/>
    </row>
    <row r="18" ht="60" customHeight="1" s="24">
      <c r="A18" s="37" t="inlineStr">
        <is>
          <t>Reasoning:</t>
        </is>
      </c>
      <c r="B18" s="36" t="n"/>
      <c r="C18" s="36" t="n"/>
      <c r="D18" s="36" t="n"/>
      <c r="E18" s="36" t="n"/>
    </row>
    <row r="19" ht="15" customHeight="1" s="24">
      <c r="A19" s="36" t="n"/>
      <c r="B19" s="36" t="n"/>
      <c r="C19" s="36" t="n"/>
      <c r="D19" s="36" t="n"/>
      <c r="E19" s="36" t="n"/>
    </row>
    <row r="20" ht="15" customHeight="1" s="24">
      <c r="A20" s="36" t="n"/>
      <c r="B20" s="36" t="n"/>
      <c r="C20" s="36" t="n"/>
      <c r="D20" s="36" t="n"/>
      <c r="E20" s="36" t="n"/>
    </row>
  </sheetData>
  <mergeCells count="9">
    <mergeCell ref="A12:E12"/>
    <mergeCell ref="A2:E2"/>
    <mergeCell ref="A15:E15"/>
    <mergeCell ref="C17:E17"/>
    <mergeCell ref="A1:E1"/>
    <mergeCell ref="A18:E20"/>
    <mergeCell ref="A13:E13"/>
    <mergeCell ref="A14:E14"/>
    <mergeCell ref="A17:B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2026-08-17T22:18:02Z</dcterms:created>
  <dcterms:modified xmlns:dcterms="http://purl.org/dc/terms/" xmlns:xsi="http://www.w3.org/2001/XMLSchema-instance" xsi:type="dcterms:W3CDTF">2026-08-17T22:23:52Z</dcterms:modified>
  <cp:revision>0</cp:revision>
</cp:coreProperties>
</file>